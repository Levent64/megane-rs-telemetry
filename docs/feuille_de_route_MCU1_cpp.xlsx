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 de route" sheetId="1" state="visible" r:id="rId3"/>
    <sheet name="Plan quotidien" sheetId="2" state="visible" r:id="rId4"/>
    <sheet name="Leçons" sheetId="3" state="visible" r:id="rId5"/>
  </sheets>
  <definedNames>
    <definedName function="false" hidden="false" localSheetId="2" name="_xlnm.Print_Titles" vbProcedure="false">Leçons!$4:$4</definedName>
    <definedName function="false" hidden="false" localSheetId="1" name="_xlnm.Print_Titles" vbProcedure="false">'Plan quotidien'!$4:$4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<sst xmlns="http://schemas.openxmlformats.org/spreadsheetml/2006/main" count="1364" uniqueCount="504">
  <si>
    <t xml:space="preserve">Feuille de route MCU1 : réécriture des drivers STM32 en C++</t>
  </si>
  <si>
    <t xml:space="preserve">Cours Udemy « Mastering Microcontroller and Embedded Driver Development » (FastBit Embedded Brain Academy, Kiran Nayak)</t>
  </si>
  <si>
    <t xml:space="preserve">Hypothèses du plan</t>
  </si>
  <si>
    <t xml:space="preserve">Rythme : 5 jours par semaine (lundi au vendredi), 30 min de vidéo puis 1 h 30 de code.</t>
  </si>
  <si>
    <t xml:space="preserve">Pause de Noël du 21/12/2026 au 01/01/2027, semaine allégée du 18 au 22/01/2027, partiels du 25/01 au 05/02/2027 (dates supposées, à corriger dans « Plan quotidien »).</t>
  </si>
  <si>
    <t xml:space="preserve">Les dates sont des cibles : elles peuvent glisser de 3 à 4 semaines sans remettre le plan en cause.</t>
  </si>
  <si>
    <t xml:space="preserve">Les jours « Code seul » sont ceux où la vidéo est finie et où tu construis la brique du projet (GPS, carte SD, IMU).</t>
  </si>
  <si>
    <t xml:space="preserve">Avancement global (J0 à J3)</t>
  </si>
  <si>
    <t xml:space="preserve">Jalon</t>
  </si>
  <si>
    <t xml:space="preserve">Chapitres du cours</t>
  </si>
  <si>
    <t xml:space="preserve">Vidéo (min)</t>
  </si>
  <si>
    <t xml:space="preserve">Vidéo (h min)</t>
  </si>
  <si>
    <t xml:space="preserve">Ce que tu construis en C++</t>
  </si>
  <si>
    <t xml:space="preserve">Validé quand</t>
  </si>
  <si>
    <t xml:space="preserve">Début</t>
  </si>
  <si>
    <t xml:space="preserve">Fin</t>
  </si>
  <si>
    <t xml:space="preserve">Jours prévus</t>
  </si>
  <si>
    <t xml:space="preserve">Jours complets</t>
  </si>
  <si>
    <t xml:space="preserve">Avancement</t>
  </si>
  <si>
    <t xml:space="preserve">Statut</t>
  </si>
  <si>
    <t xml:space="preserve">Cible hors calendrier</t>
  </si>
  <si>
    <t xml:space="preserve">J0 Fondations</t>
  </si>
  <si>
    <t xml:space="preserve">Intro, débogage, mémoire, bus, horloges, vecteurs et NVIC, GPIO complet, EXTI</t>
  </si>
  <si>
    <t xml:space="preserve">Classes Rcc et Gpio, bouton en interruption</t>
  </si>
  <si>
    <t xml:space="preserve">Tu expliques chaque ligne, LED et bouton fonctionnent</t>
  </si>
  <si>
    <t xml:space="preserve">J1 GPS</t>
  </si>
  <si>
    <t xml:space="preserve">USART</t>
  </si>
  <si>
    <t xml:space="preserve">Classe Uart, parseur NMEA, position et vitesse en direct sur le PC</t>
  </si>
  <si>
    <t xml:space="preserve">Position fiable à l'extérieur, 10 Hz si le module le permet</t>
  </si>
  <si>
    <t xml:space="preserve">J2 Carte SD</t>
  </si>
  <si>
    <t xml:space="preserve">SPI complet</t>
  </si>
  <si>
    <t xml:space="preserve">Classe Spi, écriture SD avec FatFs, trames GPS en CSV</t>
  </si>
  <si>
    <t xml:space="preserve">Un CSV propre après coupure, fichier fermé correctement</t>
  </si>
  <si>
    <t xml:space="preserve">J3 IMU</t>
  </si>
  <si>
    <t xml:space="preserve">I2C maître : théorie, init, envoi, réception</t>
  </si>
  <si>
    <t xml:space="preserve">Classe I2c, lecture de l'accéléromètre, filtrage, calibration</t>
  </si>
  <si>
    <t xml:space="preserve">G latéral et longitudinal stables, offset corrigé au repos</t>
  </si>
  <si>
    <t xml:space="preserve">J4 Fusion + visualisation</t>
  </si>
  <si>
    <t xml:space="preserve">SysTick (fin du dernier chapitre)</t>
  </si>
  <si>
    <t xml:space="preserve">Horodatage commun, CSV GPS + IMU, Python : tracé coloré, courbes, deux tours superposés</t>
  </si>
  <si>
    <t xml:space="preserve">L'image d'un tour avec accélérations et freinages</t>
  </si>
  <si>
    <t xml:space="preserve">mars-avril, rythme à recaler avec le stage</t>
  </si>
  <si>
    <t xml:space="preserve">J5 Test réel</t>
  </si>
  <si>
    <t xml:space="preserve">Montage fixé, alimentation stable, premier roulage prudent</t>
  </si>
  <si>
    <t xml:space="preserve">Un vrai tour enregistré dans la Mégane</t>
  </si>
  <si>
    <t xml:space="preserve">été 2027</t>
  </si>
  <si>
    <t xml:space="preserve">Phase 2 CAN</t>
  </si>
  <si>
    <t xml:space="preserve">Cours MCU2 (CAN), si tu le prends</t>
  </si>
  <si>
    <t xml:space="preserve">Lecture seule du bus CAN</t>
  </si>
  <si>
    <t xml:space="preserve">Données moteur synchronisées avec GPS et IMU</t>
  </si>
  <si>
    <t xml:space="preserve">après</t>
  </si>
  <si>
    <t xml:space="preserve">Facultatif</t>
  </si>
  <si>
    <t xml:space="preserve">I2C en interruption et esclave, RTC, LCD</t>
  </si>
  <si>
    <t xml:space="preserve">Pour aller plus loin, sans bloquer le projet</t>
  </si>
  <si>
    <t xml:space="preserve">si le temps le permet</t>
  </si>
  <si>
    <t xml:space="preserve">Total vidéo</t>
  </si>
  <si>
    <t xml:space="preserve">Réglages</t>
  </si>
  <si>
    <t xml:space="preserve">- Les timers ne sont pas dans MCU1 : pour l'horodatage, SysTick (millisecondes) suffit au début.</t>
  </si>
  <si>
    <t xml:space="preserve">- Le GPS ne demande que l'USART : c'est pour cela qu'il passe avant le SPI et l'I2C.</t>
  </si>
  <si>
    <t xml:space="preserve">- La carte SD suit le SPI, l'IMU suit l'I2C : chaque chapitre est suivi de son application dans le système.</t>
  </si>
  <si>
    <t xml:space="preserve">- Si tu bloques plus d'une semaine sur une brique, tu peux utiliser le HAL de ST pour elle seule, puis y revenir.</t>
  </si>
  <si>
    <t xml:space="preserve">- Le CAN et les timers avancés relèvent du cours MCU2 du même formateur, à décider une fois MCU1 terminé.</t>
  </si>
  <si>
    <t xml:space="preserve">Plan quotidien (30 min de vidéo + 1 h 30 de code)</t>
  </si>
  <si>
    <t xml:space="preserve">À remplir : colonnes H et I (liste Oui / Non), J (minutes de code) et L (notes). Les dates sont des cibles saisies à la main : modifie-les si tes partiels ou tes vacances bougent. La colonne « Complet » se calcule seule.</t>
  </si>
  <si>
    <t xml:space="preserve">Date</t>
  </si>
  <si>
    <t xml:space="preserve">Type de jour</t>
  </si>
  <si>
    <t xml:space="preserve">Vidéo à regarder</t>
  </si>
  <si>
    <t xml:space="preserve">Code du jour (1 h 30)</t>
  </si>
  <si>
    <t xml:space="preserve">Notion C++ à réviser</t>
  </si>
  <si>
    <t xml:space="preserve">Vidéo faite ?</t>
  </si>
  <si>
    <t xml:space="preserve">Code fait ?</t>
  </si>
  <si>
    <t xml:space="preserve">Minutes de code</t>
  </si>
  <si>
    <t xml:space="preserve">Complet</t>
  </si>
  <si>
    <t xml:space="preserve">Notes</t>
  </si>
  <si>
    <t xml:space="preserve">Exemple</t>
  </si>
  <si>
    <t xml:space="preserve">Vidéo + code</t>
  </si>
  <si>
    <t xml:space="preserve">Understanding Memory Map of the MCU: Part 1 (5 min)</t>
  </si>
  <si>
    <t xml:space="preserve">Réécrire en C++ : header avec les adresses de base de la carte mémoire (constexpr)</t>
  </si>
  <si>
    <t xml:space="preserve">constexpr, enum class</t>
  </si>
  <si>
    <t xml:space="preserve">Oui</t>
  </si>
  <si>
    <t xml:space="preserve">Header écrit, il compile</t>
  </si>
  <si>
    <t xml:space="preserve">About the instructor (moins d'1 min)
Important Note (moins d'1 min)
What is this course all about ?? (6 min)
Source Code and Slides (moins d'1 min)
Rating and Review (moins d'1 min)
About MCU Development board (3 min)
Hardware/Software Requirements (moins d'1 min)
Downloading STM32CubeIDE (4 min)
Installation-Windows (moins d'1 min)
Installation-Ubuntu (2 min)
Embedded Target (3 min)
Documents required (3 min)
Creating Hello-World project (10 min)</t>
  </si>
  <si>
    <t xml:space="preserve">Réécrire en C++ : Installer l'environnement et rassembler la datasheet et le reference manual</t>
  </si>
  <si>
    <t xml:space="preserve">namespace, références, const, std::array, extern "C"</t>
  </si>
  <si>
    <t xml:space="preserve">SWV working principle (9 min)
Testing Hello-World through SWV (6 min)
OpenOCD and Semihosting to use printf (6 min)
Debugging options (5 min)
Single stepping (10 min)</t>
  </si>
  <si>
    <t xml:space="preserve">Réécrire en C++ : Créer le projet C++ (CubeIDE), faire marcher printf via SWV, comprendre extern "C" et le startup</t>
  </si>
  <si>
    <t xml:space="preserve">Disassembly and Register windows (4 min)
Breakpoints (6 min)
Expression and variable windows (5 min)
Memory browser windows (8 min)
Call stack and fault analyzers (7 min)
Data watch-points (5 min)</t>
  </si>
  <si>
    <t xml:space="preserve">Réécrire en C++ : Programme de tri en C++ (std::array) puis breakpoints, watchpoints, fenêtre SFR, fault analyzer</t>
  </si>
  <si>
    <t xml:space="preserve">SFR windows (5 min)
Other basic features of IDE (5 min)
Understanding Memory Map of the MCU: Part 1 (5 min)
Understanding Memory Map of the MCU: Part 2 (3 min)
Understanding Memory Map of the MCU: Part 3 (9 min)
Test your understanding (quiz)
MCU Bus Interfaces Explanation Part 1: I-Code/D-Code/S-Bus (13 min)</t>
  </si>
  <si>
    <t xml:space="preserve">Réécrire en C++ : Header C++ avec les adresses de base de la carte mémoire (constexpr)</t>
  </si>
  <si>
    <t xml:space="preserve">MCU Bus Interfaces Explanation Part 2: AHB/APB1/APB2 (8 min)
MCU Bus Interfaces Explanation Part 3: Q/A session (11 min)
Understanding MCU Bus Matrix (6 min)
Test your understanding (quiz)
Understanding MCU Clocking System:Part1 (6 min)</t>
  </si>
  <si>
    <t xml:space="preserve">Réécrire en C++ : Noter dans ton header quel périphérique est sur quel bus (AHB1, APB1, APB2)</t>
  </si>
  <si>
    <t xml:space="preserve">Understanding MCU clock sources and HSE (11 min)
HSI and RCC registers (11 min)
Peripheral clock configuration (13 min)</t>
  </si>
  <si>
    <t xml:space="preserve">Réécrire en C++ : Classe Rcc : activer les horloges, sortir HSI puis HSE sur MCO1 (PA8) et mesurer</t>
  </si>
  <si>
    <t xml:space="preserve">enum class, constexpr, volatile, name mangling</t>
  </si>
  <si>
    <t xml:space="preserve">Exercise : HSI measurements (9 min)
About USB logic analyzer (5 min)
Code implementation (12 min)
Exercise : HSE measurements (9 min)</t>
  </si>
  <si>
    <t xml:space="preserve">Understanding MCU Vector Table (24 min)
Understanding MCU interrupt Design , NVIC, Interrupt handling: Part 1 (10 min)</t>
  </si>
  <si>
    <t xml:space="preserve">Réécrire en C++ : Handler d'interruption en extern "C", lire la table des vecteurs, activer une IRQ dans le NVIC</t>
  </si>
  <si>
    <t xml:space="preserve">Understanding MCU interrupt Design , NVIC, Interrupt handling: Part 2 (7 min)
Understanding MCU interrupt Design , NVIC, Interrupt handling: Part 3 (14 min)
Importance of "Volatile" Keyword: Part-1 (10 min)
Importance of "Volatile" Keyword-Part 2 (8 min)</t>
  </si>
  <si>
    <t xml:space="preserve">GPIO pin and GPIO port (2 min)
GPIO behind the scene (3 min)
GPIO input mode with high impedance state (1 min)
GPIO input mode with pull-up/down state (1 min)
GPIO output mode with open drain state (6 min)
GPIO output mode with push pull state (3 min)
Optimizing I/O power consumption (3 min)
Test your understanding (quiz)
GPIO programming structure (3 min)
Exploring GPIO PORT and pins of STM32F4xx Discovery board (moins d'1 min)
GPIO Mode register(used to set mode for a pin) (6 min)</t>
  </si>
  <si>
    <t xml:space="preserve">Réécrire en C++ : Fiche de révision : push-pull, open-drain, pull-up et pull-down</t>
  </si>
  <si>
    <t xml:space="preserve">Constructeur/destructeur, RAII, encapsulation</t>
  </si>
  <si>
    <t xml:space="preserve">Input configuration of a Microcontroller's GPIO Pin (12 min)
Output Configuration of a GPIO Pin in Push pull mode (3 min)
Output Configuration of a GPIO Pin in open drain mode (5 min)
Input stage of a GPIO pin during output configuration (moins d'1 min)
Alternate functionality Configuration of a GPIO pin (3 min)
GPIO out put type register explanation (1 min)
GPIO output speed register and its applicability (6 min)
GPIO Pull up and Pull down register (moins d'1 min)</t>
  </si>
  <si>
    <t xml:space="preserve">Réécrire en C++ : Struct de registres GPIO (volatile) et configuration d'une broche à la main</t>
  </si>
  <si>
    <t xml:space="preserve">GPIO input data register (1 min)
GPIO output data register and summary of various modes discussed (2 min)
Alternate functionality settings of a GPIO pin with example : Part 1 (5 min)
Alternate functionality settings of a GPIO pin with example : Part 1 (6 min)
Request for Review (moins d'1 min)
Find Out I/O Alt Functionality (quiz)
Test your understanding (quiz)
Test your understanding (quiz)
Enabling and disabling GPIO peripheral clock (1 min)
GPIO driver development overview (4 min)
MCU Specific header file and its contents (2 min)
New project creation and creating MCU specific headerfile (4 min)
Include path settings (2 min)
Important note on IDE usage (moins d'1 min)
Writing base address C macros for MCU's embedded memories : Part 1 (4 min)</t>
  </si>
  <si>
    <t xml:space="preserve">Réécrire en C++ : Classe Gpio : config (struct + enum class), constructeur qui active l'horloge, read, write, toggle</t>
  </si>
  <si>
    <t xml:space="preserve">Writing base address C macros for MCU's embedded memories : Part 2 (2 min)
Defining base addresses of different bus domains (6 min)
Defining base addresses of AHB1 Peripherals (3 min)
Defining base addresses of APB1 and APB2 Peripherals (2 min)
Defining base addresses conclusion (5 min)
Address of peripheral registers (2 min)
Structuring peripheral registers (13 min)</t>
  </si>
  <si>
    <t xml:space="preserve">Peripheral definition macros (4 min)
Writing peripheral clock enable and disable C Macros (8 min)
Project include settings and build (3 min)
Creating GPIO driver header and source file (2 min)
Defining GPIO handle and configuration structure (5 min)
Driver API requirements and adding API prototypes (7 min)
Driver API input parameters and return types (9 min)</t>
  </si>
  <si>
    <t xml:space="preserve">Driver empty API implementation and documentation (3 min)
Implementation of GPIO peripheral clock control API (2 min)
Writing user configurable macros (8 min)
Implementation of GPIO init API (6 min)
Implementation of GPIO init API contd. (2 min)
Configuring Alternate function registers (9 min)</t>
  </si>
  <si>
    <t xml:space="preserve">GPIO de-init API implementation (5 min)
Implementation of GPIO input port read and input pin read APIs (4 min)
Implementation of GPIO output port write and output pin write APIs (2 min)
Implementation of GPIO pin toggle API (1 min)
Exercise : LED toggling with PUSH PULL configuration (11 min)
Exercise : LED toggling with OPEN DRAIN configuration (6 min)</t>
  </si>
  <si>
    <t xml:space="preserve">Réécrire en C++ : LED en push-pull puis open-drain, bouton sur la carte, bouton externe</t>
  </si>
  <si>
    <t xml:space="preserve">Pointeurs de fonction, membres static, lambdas sans capture</t>
  </si>
  <si>
    <t xml:space="preserve">Exercise : Handling on board LED and Button (11 min)
Exercise : Connecting external button and circuit explanation (10 min)
Exercise : Testing button interface (3 min)
Exercise : Button interrupt introduction (1 min)
GPIO pin Interrupt configuration coding : Part 1 (7 min)</t>
  </si>
  <si>
    <t xml:space="preserve">GPIO pin Interrupt configuration coding : Part 2 (5 min)
GPIO pin Interrupt configuration coding : Part 3 (1 min)
GPIO pin Interrupt configuration coding : Part 4 (15 min)
GPIO pin Interrupt configuration coding : Part 5 (10 min)</t>
  </si>
  <si>
    <t xml:space="preserve">Réécrire en C++ : EXTI : callback appelé depuis un handler extern "C", anti-rebond</t>
  </si>
  <si>
    <t xml:space="preserve">GPIO pin Interrupt configuration coding : Part 6 (10 min)
GPIO pin Interrupt configuration coding : Part 7 (12 min)</t>
  </si>
  <si>
    <t xml:space="preserve">Exercise : External button interrupt implementation (21 min)
Exercise : Debugging the application : Part 1 (9 min)</t>
  </si>
  <si>
    <t xml:space="preserve">Exercise : Debugging the application : Part 2 (4 min)
STM32 Pin specifications (15 min)
Pin current characteristics (12 min)</t>
  </si>
  <si>
    <t xml:space="preserve">Réécrire en C++ : Fiche : courants max et niveaux logiques de la Nucleo (câblage GPS, IMU, SD)</t>
  </si>
  <si>
    <t xml:space="preserve">Logic levels (17 min)</t>
  </si>
  <si>
    <t xml:space="preserve">Code seul</t>
  </si>
  <si>
    <t xml:space="preserve">Bilan J0 : nettoie le dépôt (Rcc, Gpio, bouton), écris le README, commit, et relis ce que tu ne sais pas expliquer</t>
  </si>
  <si>
    <t xml:space="preserve">Révision : tout ce qui précède</t>
  </si>
  <si>
    <t xml:space="preserve">Marge</t>
  </si>
  <si>
    <t xml:space="preserve">Jour de marge : rattrape ce qui n'est pas encore validé, ou avance sur la suite.</t>
  </si>
  <si>
    <t xml:space="preserve">Intro UART vs USART (3 min)
Understanding UART pins (3 min)
UART frame formats (2 min)
Baud Rate (2 min)
Synchronization bits (1 min)
UART Parity (4 min)
Exploring UART functional block (2 min)
UART peripheral clock (2 min)
UART Transmitter (3 min)
Uart Receiver (4 min)
UART Start bit Detection (quiz)
USART driver development confiugrable items (5 min)</t>
  </si>
  <si>
    <t xml:space="preserve">Réécrire en C++ : Schéma d'une trame UART, calcul du baud rate à la main</t>
  </si>
  <si>
    <t xml:space="preserve">string_view, enum class, RingBuffer&lt;T, N&gt; (templates)</t>
  </si>
  <si>
    <t xml:space="preserve">USART driver APIs prototypes (2 min)
Configuration options and USART registers (10 min)
USART Driver API : USART Init (2 min)
USART Driver API : Tx and Rx assignment (1 min)
USART Driver API : Send data (5 min)
USART oversampling (7 min)
USART Baud rate calculation Part-2 (8 min)</t>
  </si>
  <si>
    <t xml:space="preserve">Réécrire en C++ : Classe Uart : init, envoi, baud rate en constexpr, test avec le PC</t>
  </si>
  <si>
    <t xml:space="preserve">USART Baud rate calculation Part-2 (4 min)
USART baudrate coding (6 min)
Exercise : USART send data to arduino (17 min)
communicating with PC over UART (4 min)</t>
  </si>
  <si>
    <t xml:space="preserve">USART interrupt discussion (3 min)
Exercise (3 min)
USART IRQ handler implementation : Assignment (moins d'1 min)</t>
  </si>
  <si>
    <t xml:space="preserve">Uart : réception par interruption dans un buffer circulaire (template RingBuffer&lt;T, N&gt;)</t>
  </si>
  <si>
    <t xml:space="preserve">string_view, machine à états, RingBuffer&lt;T, N&gt;</t>
  </si>
  <si>
    <t xml:space="preserve">Câbler le GPS et afficher les trames brutes sur le terminal du PC</t>
  </si>
  <si>
    <t xml:space="preserve">Parseur NMEA : trame RMC (heure, position, vitesse) avec vérification du checksum</t>
  </si>
  <si>
    <t xml:space="preserve">Parseur NMEA : trame GGA (fix, satellites) et gestion des trames incomplètes</t>
  </si>
  <si>
    <t xml:space="preserve">Régler la fréquence du GPS (10 Hz si le module le permet) et mesurer la fréquence réelle</t>
  </si>
  <si>
    <t xml:space="preserve">Test en extérieur, nettoyage, README et validation du jalon 1</t>
  </si>
  <si>
    <t xml:space="preserve">Introduction to SPI Bus (6 min)
SPI comparison with other protocols (4 min)
Importance of SPI slave select pin (2 min)
SPI Minimum bus configuration (2 min)
SPI behind the scene data communication principle (4 min)
SPI bus configuration discussion : full duplex, half duplex and simplex (6 min)
SPI functional block diagram explanation (7 min)</t>
  </si>
  <si>
    <t xml:space="preserve">Réécrire en C++ : Fiche CPOL/CPHA avec chronogrammes, câblage SPI de la Nucleo</t>
  </si>
  <si>
    <t xml:space="preserve">Surcharge de méthodes, const, std::span (C++20)</t>
  </si>
  <si>
    <t xml:space="preserve">NSS settings in STM32 master and slave modes (3 min)
STM32 SPI hardware and software slave managements (6 min)
SPI CPOL and CPHA discussion (12 min)
SPI CPOL and CPHA waveform example (8 min)
SPI peripherals of your Microcontroller (1 min)</t>
  </si>
  <si>
    <t xml:space="preserve">SPI Serial clock frequency (5 min)
SPI API requirements and configuration items (7 min)
updating MCU specific header file with SPI related details (2 min)
SPI adding API prototypes to driver header file (5 min)
Implementation of SPI peripheral clock control API (4 min)</t>
  </si>
  <si>
    <t xml:space="preserve">Réécrire en C++ : Classe Spi : config, constructeur, horloge, envoi</t>
  </si>
  <si>
    <t xml:space="preserve">SPI user configuration options writing and register bit definition macros (18 min)
Implementation of SPI init API : Part 1 (3 min)
Implementation of SPI init API : Part 2 (4 min)
Implementation of SPI send data API : Part 1 (8 min)</t>
  </si>
  <si>
    <t xml:space="preserve">Implementation of SPI send data API : Part 2 (5 min)
Implementation of SPI send data API : Part 3 (6 min)
Implementation of SPI send data API : Part 4 (1 min)
Exercise to test SPI Send Data API (2 min)
Finding out microcontroller pins to communicate over SPI2 (4 min)
Exercise : Code implementation : Part 1 (4 min)
Exercise : Code implementation : Part 2 (7 min)
Exercise : Code implementation : Part 3 (6 min)</t>
  </si>
  <si>
    <t xml:space="preserve">Réécrire en C++ : Envoi vers l'Arduino, vérification à l'analyseur logique</t>
  </si>
  <si>
    <t xml:space="preserve">Exercise : Testing (15 min)
Exercise : Communicating with Arduino slave (12 min)
Exercise : Coding Part 1 (7 min)</t>
  </si>
  <si>
    <t xml:space="preserve">Exercise : Coding Part 2 (3 min)
Exercise : Coding Part 3 (4 min)
Exercise : Testing (7 min)
Implementation of SPI data receive API : Part 1 (2 min)
Implementation of SPI data receive API : Part 2 (2 min)
Exercise : SPI command and response based communication (8 min)
Exercise : Coding Part 1 (10 min)</t>
  </si>
  <si>
    <t xml:space="preserve">Réécrire en C++ : Réception SPI et protocole commande/réponse</t>
  </si>
  <si>
    <t xml:space="preserve">enum class pour une machine à états, callbacks</t>
  </si>
  <si>
    <t xml:space="preserve">Exercise : Coding Part 2 (9 min)
Exercise : Coding Part 3 (14 min)
SPI peripheral interrupting the processor (7 min)
SPI interrupt mode API implementation and changes to handle structure (5 min)</t>
  </si>
  <si>
    <t xml:space="preserve">SPI send data with interrupt API implementation (5 min)
SPI receive data with interrupt implementation (2 min)
SPI : Handling of interrupts (4 min)
SPI IRQ handler implementation : Part 1 (8 min)
SPI IRQ handler implementation : Part 2 (9 min)
SPI IRQ handler implementation : Part 3 (10 min)</t>
  </si>
  <si>
    <t xml:space="preserve">Réécrire en C++ : Version par interruption avec machine à états (enum class)</t>
  </si>
  <si>
    <t xml:space="preserve">Exercise (16 min)
Common problems in SPI and Debugging Tips (6 min)</t>
  </si>
  <si>
    <t xml:space="preserve">Carte SD : câblage SPI (CS, MOSI, MISO, SCK), alimentation 3,3 V, protocole SD en mode SPI</t>
  </si>
  <si>
    <t xml:space="preserve">Gestion d'erreurs sans exceptions (enum class, std::optional)</t>
  </si>
  <si>
    <t xml:space="preserve">Initialisation de la carte : 74 cycles d'horloge, CMD0, CMD8, ACMD41, vérifier chaque réponse</t>
  </si>
  <si>
    <t xml:space="preserve">Lecture d'un bloc de 512 octets (CMD17) et affichage sur le PC</t>
  </si>
  <si>
    <t xml:space="preserve">Écriture d'un bloc (CMD24) puis relecture pour vérifier</t>
  </si>
  <si>
    <t xml:space="preserve">Couche d'accès disque pour FatFs : disk_initialize, disk_read, disk_write</t>
  </si>
  <si>
    <t xml:space="preserve">Pause</t>
  </si>
  <si>
    <t xml:space="preserve">Pause (vacances)</t>
  </si>
  <si>
    <t xml:space="preserve">Repos. Si tu veux garder le fil : 30 min de lecture libre, sans objectif.</t>
  </si>
  <si>
    <t xml:space="preserve">Monter le système de fichiers, créer un fichier, écrire une ligne</t>
  </si>
  <si>
    <t xml:space="preserve">Écrire un CSV à intervalle régulier avec le tick SysTick</t>
  </si>
  <si>
    <t xml:space="preserve">Fermeture propre : f_sync régulier, f_close, bouton d'arrêt</t>
  </si>
  <si>
    <t xml:space="preserve">Test de coupure d'alimentation : mesurer ce qui est perdu, ajuster la fréquence de f_sync</t>
  </si>
  <si>
    <t xml:space="preserve">Brancher le GPS et écrire les trames reçues dans le CSV</t>
  </si>
  <si>
    <t xml:space="preserve">Relire le CSV sur le PC et vérifier la cohérence des lignes</t>
  </si>
  <si>
    <t xml:space="preserve">Tenir 10 Hz sans perdre de trames (buffers, durée d'écriture)</t>
  </si>
  <si>
    <t xml:space="preserve">Nettoyage : isoler le driver SD, README, schéma de câblage</t>
  </si>
  <si>
    <t xml:space="preserve">Validation du jalon 2 : tu expliques chaque ligne, 10 minutes d'enregistrement sans corruption</t>
  </si>
  <si>
    <t xml:space="preserve">Allégé</t>
  </si>
  <si>
    <t xml:space="preserve">Allégé (révisions)</t>
  </si>
  <si>
    <t xml:space="preserve">30 min de relecture de ton code, le reste du temps pour les révisions des partiels.</t>
  </si>
  <si>
    <t xml:space="preserve">Partiels</t>
  </si>
  <si>
    <t xml:space="preserve">Partiels (pause)</t>
  </si>
  <si>
    <t xml:space="preserve">Projet en pause pendant les partiels.</t>
  </si>
  <si>
    <t xml:space="preserve">I2C introduction and differences with SPI (12 min)
I2C SDA and SCL signals (3 min)
I2C standard and fast mode (4 min)
I2C Protocol explanation (6 min)
I2C START and STOP conditions (9 min)</t>
  </si>
  <si>
    <t xml:space="preserve">Réécrire en C++ : Chronogrammes START, STOP, ACK, adressage : fiche de révision</t>
  </si>
  <si>
    <t xml:space="preserve">Composition, interface commune (virtual et son coût), templates</t>
  </si>
  <si>
    <t xml:space="preserve">I2C ACK and NACK (3 min)
I2C Data validity (4 min)
Quiz SPI and I2C (quiz)
Example of master writing to slave (4 min)
Understanding repeated START condition (5 min)
I2C functional block diagram (4 min)
I2C driver API requirements (7 min)
I2C handle and configuration structure (moins d'1 min)
I2C user configurable macros (5 min)</t>
  </si>
  <si>
    <t xml:space="preserve">I2C API prototypes (3 min)
Steps for I2C init implementation (4 min)
I2C serial clock settings with explanation (10 min)
Clock Stretching (4 min)
Implementation of I2C init API : Part 1 (10 min)</t>
  </si>
  <si>
    <t xml:space="preserve">Réécrire en C++ : Classe I2c : config et init, calcul de l'horloge SCL en constexpr</t>
  </si>
  <si>
    <t xml:space="preserve">Implementation of I2C init API : Part 2 (5 min)
Implementation of I2C init API : Part 3 (8 min)
I2C transfer sequence diagram for master sending data (10 min)
Implementation of I2C master sending data API : Part 1 (6 min)
Implementation of I2C master sending data API : Part 2 (2 min)</t>
  </si>
  <si>
    <t xml:space="preserve">Réécrire en C++ : Envoi côté maître, exercice avec l'Arduino</t>
  </si>
  <si>
    <t xml:space="preserve">Implementation of I2C master sending data API : Part 3 (4 min)
Implementation of I2C master sending data API : Part 4 (3 min)
Implementation of I2C master sending data API : Part 5 (2 min)
I2C pull up resistance , rise time and bus capacitance discussion (18 min)
I2C rise time calculation (4 min)</t>
  </si>
  <si>
    <t xml:space="preserve">Exercise : Introduction (10 min)
Exercise : Coding Part 1 (10 min)
Exercise : Coding Part 2 (4 min)
Exercise : Testing (5 min)</t>
  </si>
  <si>
    <t xml:space="preserve">I2C transfer sequence diagram for master receiving data (12 min)
Assignment : I2C master receive data API implementation (2 min)
Implementation of I2C master receive data API : Part 1 (8 min)
Implementation of I2C master receive data API : Part 2 (3 min)
Exercise : Reading data from the I2C slave (6 min)</t>
  </si>
  <si>
    <t xml:space="preserve">Réécrire en C++ : Réception côté maître, lecture avec repeated start</t>
  </si>
  <si>
    <t xml:space="preserve">Exercise : Coding Part 1 (5 min)
Exercise : Coding Part 2 (14 min)
Exercise : Coding Part 3 (4 min)
Exercise : Testing repeated start (8 min)</t>
  </si>
  <si>
    <t xml:space="preserve">Câbler l'IMU, scanner le bus I2C et lire l'identifiant du capteur (WHO_AM_I)</t>
  </si>
  <si>
    <t xml:space="preserve">constexpr pour les conversions, std::array</t>
  </si>
  <si>
    <t xml:space="preserve">Configurer la plage de mesure et la fréquence d'échantillonnage</t>
  </si>
  <si>
    <t xml:space="preserve">Lire les accélérations brutes sur 3 axes et les afficher</t>
  </si>
  <si>
    <t xml:space="preserve">Convertir en g et repérer les axes (longitudinal, latéral, vertical) en inclinant le capteur</t>
  </si>
  <si>
    <t xml:space="preserve">Calibrer l'offset au repos, puis filtrer (moyenne glissante, ensuite passe-bas)</t>
  </si>
  <si>
    <t xml:space="preserve">Nettoyage, README et validation du jalon 3</t>
  </si>
  <si>
    <t xml:space="preserve">Leçons du cours dans le nouvel ordre</t>
  </si>
  <si>
    <t xml:space="preserve">Source : liste des leçons fournie par l'utilisateur (durées à vitesse normale, quiz sans durée). Les dates viennent du plan quotidien ; les leçons facultatives n'ont pas de date.</t>
  </si>
  <si>
    <t xml:space="preserve">N°</t>
  </si>
  <si>
    <t xml:space="preserve">Chapitre</t>
  </si>
  <si>
    <t xml:space="preserve">Leçon</t>
  </si>
  <si>
    <t xml:space="preserve">Durée (min)</t>
  </si>
  <si>
    <t xml:space="preserve">Date prévue</t>
  </si>
  <si>
    <t xml:space="preserve">Intro, présentation, installation, documents</t>
  </si>
  <si>
    <t xml:space="preserve">About the instructor</t>
  </si>
  <si>
    <t xml:space="preserve">Important Note</t>
  </si>
  <si>
    <t xml:space="preserve">What is this course all about ??</t>
  </si>
  <si>
    <t xml:space="preserve">Source Code and Slides</t>
  </si>
  <si>
    <t xml:space="preserve">Rating and Review</t>
  </si>
  <si>
    <t xml:space="preserve">About MCU Development board</t>
  </si>
  <si>
    <t xml:space="preserve">Hardware/Software Requirements</t>
  </si>
  <si>
    <t xml:space="preserve">Downloading STM32CubeIDE</t>
  </si>
  <si>
    <t xml:space="preserve">Installation-Windows</t>
  </si>
  <si>
    <t xml:space="preserve">Installation-Ubuntu</t>
  </si>
  <si>
    <t xml:space="preserve">Embedded Target</t>
  </si>
  <si>
    <t xml:space="preserve">Documents required</t>
  </si>
  <si>
    <t xml:space="preserve">Hello World, SWV et semihosting</t>
  </si>
  <si>
    <t xml:space="preserve">Creating Hello-World project</t>
  </si>
  <si>
    <t xml:space="preserve">SWV working principle</t>
  </si>
  <si>
    <t xml:space="preserve">Testing Hello-World through SWV</t>
  </si>
  <si>
    <t xml:space="preserve">OpenOCD and Semihosting to use printf</t>
  </si>
  <si>
    <t xml:space="preserve">Débogage (pas à pas, breakpoints, watchpoints, SFR)</t>
  </si>
  <si>
    <t xml:space="preserve">Debugging options</t>
  </si>
  <si>
    <t xml:space="preserve">Single stepping</t>
  </si>
  <si>
    <t xml:space="preserve">Disassembly and Register windows</t>
  </si>
  <si>
    <t xml:space="preserve">Breakpoints</t>
  </si>
  <si>
    <t xml:space="preserve">Expression and variable windows</t>
  </si>
  <si>
    <t xml:space="preserve">Memory browser windows</t>
  </si>
  <si>
    <t xml:space="preserve">Call stack and fault analyzers</t>
  </si>
  <si>
    <t xml:space="preserve">Data watch-points</t>
  </si>
  <si>
    <t xml:space="preserve">SFR windows</t>
  </si>
  <si>
    <t xml:space="preserve">Other basic features of IDE</t>
  </si>
  <si>
    <t xml:space="preserve">Carte mémoire du MCU</t>
  </si>
  <si>
    <t xml:space="preserve">Understanding Memory Map of the MCU: Part 1</t>
  </si>
  <si>
    <t xml:space="preserve">Understanding Memory Map of the MCU: Part 2</t>
  </si>
  <si>
    <t xml:space="preserve">Understanding Memory Map of the MCU: Part 3</t>
  </si>
  <si>
    <t xml:space="preserve">Test your understanding</t>
  </si>
  <si>
    <t xml:space="preserve">Interfaces de bus et bus matrix</t>
  </si>
  <si>
    <t xml:space="preserve">MCU Bus Interfaces Explanation Part 1: I-Code/D-Code/S-Bus</t>
  </si>
  <si>
    <t xml:space="preserve">MCU Bus Interfaces Explanation Part 2: AHB/APB1/APB2</t>
  </si>
  <si>
    <t xml:space="preserve">MCU Bus Interfaces Explanation Part 3: Q/A session</t>
  </si>
  <si>
    <t xml:space="preserve">Understanding MCU Bus Matrix</t>
  </si>
  <si>
    <t xml:space="preserve">Horloges (HSI, HSE, MCO) et exercices</t>
  </si>
  <si>
    <t xml:space="preserve">Understanding MCU Clocking System:Part1</t>
  </si>
  <si>
    <t xml:space="preserve">Understanding MCU clock sources and HSE</t>
  </si>
  <si>
    <t xml:space="preserve">HSI and RCC registers</t>
  </si>
  <si>
    <t xml:space="preserve">Peripheral clock configuration</t>
  </si>
  <si>
    <t xml:space="preserve">Exercise : HSI measurements</t>
  </si>
  <si>
    <t xml:space="preserve">About USB logic analyzer</t>
  </si>
  <si>
    <t xml:space="preserve">Code implementation</t>
  </si>
  <si>
    <t xml:space="preserve">Exercise : HSE measurements</t>
  </si>
  <si>
    <t xml:space="preserve">Table des vecteurs et NVIC</t>
  </si>
  <si>
    <t xml:space="preserve">Understanding MCU Vector Table</t>
  </si>
  <si>
    <t xml:space="preserve">Understanding MCU interrupt Design , NVIC, Interrupt handling: Part 1</t>
  </si>
  <si>
    <t xml:space="preserve">Understanding MCU interrupt Design , NVIC, Interrupt handling: Part 2</t>
  </si>
  <si>
    <t xml:space="preserve">Understanding MCU interrupt Design , NVIC, Interrupt handling: Part 3</t>
  </si>
  <si>
    <t xml:space="preserve">Mot-clé volatile</t>
  </si>
  <si>
    <t xml:space="preserve">Importance of "Volatile" Keyword: Part-1</t>
  </si>
  <si>
    <t xml:space="preserve">Importance of "Volatile" Keyword-Part 2</t>
  </si>
  <si>
    <t xml:space="preserve">Théorie GPIO (modes)</t>
  </si>
  <si>
    <t xml:space="preserve">GPIO pin and GPIO port</t>
  </si>
  <si>
    <t xml:space="preserve">GPIO behind the scene</t>
  </si>
  <si>
    <t xml:space="preserve">GPIO input mode with high impedance state</t>
  </si>
  <si>
    <t xml:space="preserve">GPIO input mode with pull-up/down state</t>
  </si>
  <si>
    <t xml:space="preserve">GPIO output mode with open drain state</t>
  </si>
  <si>
    <t xml:space="preserve">GPIO output mode with push pull state</t>
  </si>
  <si>
    <t xml:space="preserve">Optimizing I/O power consumption</t>
  </si>
  <si>
    <t xml:space="preserve">Registres GPIO</t>
  </si>
  <si>
    <t xml:space="preserve">GPIO programming structure</t>
  </si>
  <si>
    <t xml:space="preserve">Exploring GPIO PORT and pins of STM32F4xx Discovery board</t>
  </si>
  <si>
    <t xml:space="preserve">GPIO Mode register(used to set mode for a pin)</t>
  </si>
  <si>
    <t xml:space="preserve">Input configuration of a Microcontroller's GPIO Pin</t>
  </si>
  <si>
    <t xml:space="preserve">Output Configuration of a GPIO Pin in Push pull mode</t>
  </si>
  <si>
    <t xml:space="preserve">Output Configuration of a GPIO Pin in open drain mode</t>
  </si>
  <si>
    <t xml:space="preserve">Input stage of a GPIO pin during output configuration</t>
  </si>
  <si>
    <t xml:space="preserve">Alternate functionality Configuration of a GPIO pin</t>
  </si>
  <si>
    <t xml:space="preserve">GPIO out put type register explanation</t>
  </si>
  <si>
    <t xml:space="preserve">GPIO output speed register and its applicability</t>
  </si>
  <si>
    <t xml:space="preserve">GPIO Pull up and Pull down register</t>
  </si>
  <si>
    <t xml:space="preserve">GPIO input data register</t>
  </si>
  <si>
    <t xml:space="preserve">GPIO output data register and summary of various modes discussed</t>
  </si>
  <si>
    <t xml:space="preserve">Alternate functionality settings of a GPIO pin with example : Part 1</t>
  </si>
  <si>
    <t xml:space="preserve">Request for Review</t>
  </si>
  <si>
    <t xml:space="preserve">Find Out I/O Alt Functionality</t>
  </si>
  <si>
    <t xml:space="preserve">Écriture du driver GPIO</t>
  </si>
  <si>
    <t xml:space="preserve">Enabling and disabling GPIO peripheral clock</t>
  </si>
  <si>
    <t xml:space="preserve">GPIO driver development overview</t>
  </si>
  <si>
    <t xml:space="preserve">MCU Specific header file and its contents</t>
  </si>
  <si>
    <t xml:space="preserve">New project creation and creating MCU specific headerfile</t>
  </si>
  <si>
    <t xml:space="preserve">Include path settings</t>
  </si>
  <si>
    <t xml:space="preserve">Important note on IDE usage</t>
  </si>
  <si>
    <t xml:space="preserve">Writing base address C macros for MCU's embedded memories : Part 1</t>
  </si>
  <si>
    <t xml:space="preserve">Writing base address C macros for MCU's embedded memories : Part 2</t>
  </si>
  <si>
    <t xml:space="preserve">Defining base addresses of different bus domains</t>
  </si>
  <si>
    <t xml:space="preserve">Defining base addresses of AHB1 Peripherals</t>
  </si>
  <si>
    <t xml:space="preserve">Defining base addresses of APB1 and APB2 Peripherals</t>
  </si>
  <si>
    <t xml:space="preserve">Defining base addresses conclusion</t>
  </si>
  <si>
    <t xml:space="preserve">Address of peripheral registers</t>
  </si>
  <si>
    <t xml:space="preserve">Structuring peripheral registers</t>
  </si>
  <si>
    <t xml:space="preserve">Peripheral definition macros</t>
  </si>
  <si>
    <t xml:space="preserve">Writing peripheral clock enable and disable C Macros</t>
  </si>
  <si>
    <t xml:space="preserve">Project include settings and build</t>
  </si>
  <si>
    <t xml:space="preserve">Creating GPIO driver header and source file</t>
  </si>
  <si>
    <t xml:space="preserve">Defining GPIO handle and configuration structure</t>
  </si>
  <si>
    <t xml:space="preserve">Driver API requirements and adding API prototypes</t>
  </si>
  <si>
    <t xml:space="preserve">Driver API input parameters and return types</t>
  </si>
  <si>
    <t xml:space="preserve">Driver empty API implementation and documentation</t>
  </si>
  <si>
    <t xml:space="preserve">Implementation of GPIO peripheral clock control API</t>
  </si>
  <si>
    <t xml:space="preserve">Writing user configurable macros</t>
  </si>
  <si>
    <t xml:space="preserve">Implementation of GPIO init API</t>
  </si>
  <si>
    <t xml:space="preserve">Implementation of GPIO init API contd.</t>
  </si>
  <si>
    <t xml:space="preserve">Configuring Alternate function registers</t>
  </si>
  <si>
    <t xml:space="preserve">GPIO de-init API implementation</t>
  </si>
  <si>
    <t xml:space="preserve">Implementation of GPIO input port read and input pin read APIs</t>
  </si>
  <si>
    <t xml:space="preserve">Implementation of GPIO output port write and output pin write APIs</t>
  </si>
  <si>
    <t xml:space="preserve">Implementation of GPIO pin toggle API</t>
  </si>
  <si>
    <t xml:space="preserve">Exercices GPIO (LED, bouton)</t>
  </si>
  <si>
    <t xml:space="preserve">Exercise : LED toggling with PUSH PULL configuration</t>
  </si>
  <si>
    <t xml:space="preserve">Exercise : LED toggling with OPEN DRAIN configuration</t>
  </si>
  <si>
    <t xml:space="preserve">Exercise : Handling on board LED and Button</t>
  </si>
  <si>
    <t xml:space="preserve">Exercise : Connecting external button and circuit explanation</t>
  </si>
  <si>
    <t xml:space="preserve">Exercise : Testing button interface</t>
  </si>
  <si>
    <t xml:space="preserve">Interruptions GPIO (EXTI)</t>
  </si>
  <si>
    <t xml:space="preserve">Exercise : Button interrupt introduction</t>
  </si>
  <si>
    <t xml:space="preserve">GPIO pin Interrupt configuration coding : Part 1</t>
  </si>
  <si>
    <t xml:space="preserve">GPIO pin Interrupt configuration coding : Part 2</t>
  </si>
  <si>
    <t xml:space="preserve">GPIO pin Interrupt configuration coding : Part 3</t>
  </si>
  <si>
    <t xml:space="preserve">GPIO pin Interrupt configuration coding : Part 4</t>
  </si>
  <si>
    <t xml:space="preserve">GPIO pin Interrupt configuration coding : Part 5</t>
  </si>
  <si>
    <t xml:space="preserve">GPIO pin Interrupt configuration coding : Part 6</t>
  </si>
  <si>
    <t xml:space="preserve">GPIO pin Interrupt configuration coding : Part 7</t>
  </si>
  <si>
    <t xml:space="preserve">Exercise : External button interrupt implementation</t>
  </si>
  <si>
    <t xml:space="preserve">Exercise : Debugging the application : Part 1</t>
  </si>
  <si>
    <t xml:space="preserve">Exercise : Debugging the application : Part 2</t>
  </si>
  <si>
    <t xml:space="preserve">Caractéristiques des broches, niveaux logiques</t>
  </si>
  <si>
    <t xml:space="preserve">STM32 Pin specifications</t>
  </si>
  <si>
    <t xml:space="preserve">Pin current characteristics</t>
  </si>
  <si>
    <t xml:space="preserve">Logic levels</t>
  </si>
  <si>
    <t xml:space="preserve">Théorie UART</t>
  </si>
  <si>
    <t xml:space="preserve">Intro UART vs USART</t>
  </si>
  <si>
    <t xml:space="preserve">Understanding UART pins</t>
  </si>
  <si>
    <t xml:space="preserve">UART frame formats</t>
  </si>
  <si>
    <t xml:space="preserve">Baud Rate</t>
  </si>
  <si>
    <t xml:space="preserve">Synchronization bits</t>
  </si>
  <si>
    <t xml:space="preserve">UART Parity</t>
  </si>
  <si>
    <t xml:space="preserve">Exploring UART functional block</t>
  </si>
  <si>
    <t xml:space="preserve">UART peripheral clock</t>
  </si>
  <si>
    <t xml:space="preserve">UART Transmitter</t>
  </si>
  <si>
    <t xml:space="preserve">Uart Receiver</t>
  </si>
  <si>
    <t xml:space="preserve">UART Start bit Detection</t>
  </si>
  <si>
    <t xml:space="preserve">Driver USART</t>
  </si>
  <si>
    <t xml:space="preserve">USART driver development confiugrable items</t>
  </si>
  <si>
    <t xml:space="preserve">USART driver APIs prototypes</t>
  </si>
  <si>
    <t xml:space="preserve">Configuration options and USART registers</t>
  </si>
  <si>
    <t xml:space="preserve">USART Driver API : USART Init</t>
  </si>
  <si>
    <t xml:space="preserve">USART Driver API : Tx and Rx assignment</t>
  </si>
  <si>
    <t xml:space="preserve">USART Driver API : Send data</t>
  </si>
  <si>
    <t xml:space="preserve">USART oversampling</t>
  </si>
  <si>
    <t xml:space="preserve">USART Baud rate calculation Part-2</t>
  </si>
  <si>
    <t xml:space="preserve">USART baudrate coding</t>
  </si>
  <si>
    <t xml:space="preserve">Exercise : USART send data to arduino</t>
  </si>
  <si>
    <t xml:space="preserve">communicating with PC over UART</t>
  </si>
  <si>
    <t xml:space="preserve">USART interrupt discussion</t>
  </si>
  <si>
    <t xml:space="preserve">Exercise</t>
  </si>
  <si>
    <t xml:space="preserve">USART IRQ handler implementation : Assignment</t>
  </si>
  <si>
    <t xml:space="preserve">Théorie SPI</t>
  </si>
  <si>
    <t xml:space="preserve">Introduction to SPI Bus</t>
  </si>
  <si>
    <t xml:space="preserve">SPI comparison with other protocols</t>
  </si>
  <si>
    <t xml:space="preserve">Importance of SPI slave select pin</t>
  </si>
  <si>
    <t xml:space="preserve">SPI Minimum bus configuration</t>
  </si>
  <si>
    <t xml:space="preserve">SPI behind the scene data communication principle</t>
  </si>
  <si>
    <t xml:space="preserve">SPI bus configuration discussion : full duplex, half duplex and simplex</t>
  </si>
  <si>
    <t xml:space="preserve">SPI functional block diagram explanation</t>
  </si>
  <si>
    <t xml:space="preserve">NSS settings in STM32 master and slave modes</t>
  </si>
  <si>
    <t xml:space="preserve">STM32 SPI hardware and software slave managements</t>
  </si>
  <si>
    <t xml:space="preserve">SPI CPOL and CPHA discussion</t>
  </si>
  <si>
    <t xml:space="preserve">SPI CPOL and CPHA waveform example</t>
  </si>
  <si>
    <t xml:space="preserve">SPI peripherals of your Microcontroller</t>
  </si>
  <si>
    <t xml:space="preserve">SPI Serial clock frequency</t>
  </si>
  <si>
    <t xml:space="preserve">Driver SPI : init et envoi</t>
  </si>
  <si>
    <t xml:space="preserve">SPI API requirements and configuration items</t>
  </si>
  <si>
    <t xml:space="preserve">updating MCU specific header file with SPI related details</t>
  </si>
  <si>
    <t xml:space="preserve">SPI adding API prototypes to driver header file</t>
  </si>
  <si>
    <t xml:space="preserve">Implementation of SPI peripheral clock control API</t>
  </si>
  <si>
    <t xml:space="preserve">SPI user configuration options writing and register bit definition macros</t>
  </si>
  <si>
    <t xml:space="preserve">Implementation of SPI init API : Part 1</t>
  </si>
  <si>
    <t xml:space="preserve">Implementation of SPI init API : Part 2</t>
  </si>
  <si>
    <t xml:space="preserve">Implementation of SPI send data API : Part 1</t>
  </si>
  <si>
    <t xml:space="preserve">Implementation of SPI send data API : Part 2</t>
  </si>
  <si>
    <t xml:space="preserve">Implementation of SPI send data API : Part 3</t>
  </si>
  <si>
    <t xml:space="preserve">Implementation of SPI send data API : Part 4</t>
  </si>
  <si>
    <t xml:space="preserve">Exercices d'envoi SPI (Arduino)</t>
  </si>
  <si>
    <t xml:space="preserve">Exercise to test SPI Send Data API</t>
  </si>
  <si>
    <t xml:space="preserve">Finding out microcontroller pins to communicate over SPI2</t>
  </si>
  <si>
    <t xml:space="preserve">Exercise : Code implementation : Part 1</t>
  </si>
  <si>
    <t xml:space="preserve">Exercise : Code implementation : Part 2</t>
  </si>
  <si>
    <t xml:space="preserve">Exercise : Code implementation : Part 3</t>
  </si>
  <si>
    <t xml:space="preserve">Exercise : Testing</t>
  </si>
  <si>
    <t xml:space="preserve">Exercise : Communicating with Arduino slave</t>
  </si>
  <si>
    <t xml:space="preserve">Exercise : Coding Part 1</t>
  </si>
  <si>
    <t xml:space="preserve">Exercise : Coding Part 2</t>
  </si>
  <si>
    <t xml:space="preserve">Exercise : Coding Part 3</t>
  </si>
  <si>
    <t xml:space="preserve">Réception SPI, commande/réponse</t>
  </si>
  <si>
    <t xml:space="preserve">Implementation of SPI data receive API : Part 1</t>
  </si>
  <si>
    <t xml:space="preserve">Implementation of SPI data receive API : Part 2</t>
  </si>
  <si>
    <t xml:space="preserve">Exercise : SPI command and response based communication</t>
  </si>
  <si>
    <t xml:space="preserve">SPI en interruption</t>
  </si>
  <si>
    <t xml:space="preserve">SPI peripheral interrupting the processor</t>
  </si>
  <si>
    <t xml:space="preserve">SPI interrupt mode API implementation and changes to handle structure</t>
  </si>
  <si>
    <t xml:space="preserve">SPI send data with interrupt API implementation</t>
  </si>
  <si>
    <t xml:space="preserve">SPI receive data with interrupt implementation</t>
  </si>
  <si>
    <t xml:space="preserve">SPI : Handling of interrupts</t>
  </si>
  <si>
    <t xml:space="preserve">SPI IRQ handler implementation : Part 1</t>
  </si>
  <si>
    <t xml:space="preserve">SPI IRQ handler implementation : Part 2</t>
  </si>
  <si>
    <t xml:space="preserve">SPI IRQ handler implementation : Part 3</t>
  </si>
  <si>
    <t xml:space="preserve">Common problems in SPI and Debugging Tips</t>
  </si>
  <si>
    <t xml:space="preserve">Théorie I2C</t>
  </si>
  <si>
    <t xml:space="preserve">I2C introduction and differences with SPI</t>
  </si>
  <si>
    <t xml:space="preserve">I2C SDA and SCL signals</t>
  </si>
  <si>
    <t xml:space="preserve">I2C standard and fast mode</t>
  </si>
  <si>
    <t xml:space="preserve">I2C Protocol explanation</t>
  </si>
  <si>
    <t xml:space="preserve">I2C START and STOP conditions</t>
  </si>
  <si>
    <t xml:space="preserve">I2C ACK and NACK</t>
  </si>
  <si>
    <t xml:space="preserve">I2C Data validity</t>
  </si>
  <si>
    <t xml:space="preserve">Quiz SPI and I2C</t>
  </si>
  <si>
    <t xml:space="preserve">Example of master writing to slave</t>
  </si>
  <si>
    <t xml:space="preserve">Understanding repeated START condition</t>
  </si>
  <si>
    <t xml:space="preserve">I2C functional block diagram</t>
  </si>
  <si>
    <t xml:space="preserve">Driver I2C : configuration et init</t>
  </si>
  <si>
    <t xml:space="preserve">I2C driver API requirements</t>
  </si>
  <si>
    <t xml:space="preserve">I2C handle and configuration structure</t>
  </si>
  <si>
    <t xml:space="preserve">I2C user configurable macros</t>
  </si>
  <si>
    <t xml:space="preserve">I2C API prototypes</t>
  </si>
  <si>
    <t xml:space="preserve">Steps for I2C init implementation</t>
  </si>
  <si>
    <t xml:space="preserve">I2C serial clock settings with explanation</t>
  </si>
  <si>
    <t xml:space="preserve">Clock Stretching</t>
  </si>
  <si>
    <t xml:space="preserve">Implementation of I2C init API : Part 1</t>
  </si>
  <si>
    <t xml:space="preserve">Implementation of I2C init API : Part 2</t>
  </si>
  <si>
    <t xml:space="preserve">Implementation of I2C init API : Part 3</t>
  </si>
  <si>
    <t xml:space="preserve">I2C maître : envoi et exercices</t>
  </si>
  <si>
    <t xml:space="preserve">I2C transfer sequence diagram for master sending data</t>
  </si>
  <si>
    <t xml:space="preserve">Implementation of I2C master sending data API : Part 1</t>
  </si>
  <si>
    <t xml:space="preserve">Implementation of I2C master sending data API : Part 2</t>
  </si>
  <si>
    <t xml:space="preserve">Implementation of I2C master sending data API : Part 3</t>
  </si>
  <si>
    <t xml:space="preserve">Implementation of I2C master sending data API : Part 4</t>
  </si>
  <si>
    <t xml:space="preserve">Implementation of I2C master sending data API : Part 5</t>
  </si>
  <si>
    <t xml:space="preserve">I2C pull up resistance , rise time and bus capacitance discussion</t>
  </si>
  <si>
    <t xml:space="preserve">I2C rise time calculation</t>
  </si>
  <si>
    <t xml:space="preserve">Exercise : Introduction</t>
  </si>
  <si>
    <t xml:space="preserve">I2C maître : réception</t>
  </si>
  <si>
    <t xml:space="preserve">I2C transfer sequence diagram for master receiving data</t>
  </si>
  <si>
    <t xml:space="preserve">Assignment : I2C master receive data API implementation</t>
  </si>
  <si>
    <t xml:space="preserve">Implementation of I2C master receive data API : Part 1</t>
  </si>
  <si>
    <t xml:space="preserve">Implementation of I2C master receive data API : Part 2</t>
  </si>
  <si>
    <t xml:space="preserve">Exercise : Reading data from the I2C slave</t>
  </si>
  <si>
    <t xml:space="preserve">Exercise : Testing repeated start</t>
  </si>
  <si>
    <t xml:space="preserve">RTC DS1307 et SysTick</t>
  </si>
  <si>
    <t xml:space="preserve">RTC and Systick</t>
  </si>
  <si>
    <t xml:space="preserve">I2C en interruption, erreurs</t>
  </si>
  <si>
    <t xml:space="preserve">I2C IRQ and interrupt discussion</t>
  </si>
  <si>
    <t xml:space="preserve">I2C errors and importance of BUSY flag</t>
  </si>
  <si>
    <t xml:space="preserve">I2C handle structure modification</t>
  </si>
  <si>
    <t xml:space="preserve">I2C adding interrupt related macros and interrupt APIs</t>
  </si>
  <si>
    <t xml:space="preserve">Assignment : I2C interrupt APIs implementation</t>
  </si>
  <si>
    <t xml:space="preserve">Implementation of I2C interrupt based APIs</t>
  </si>
  <si>
    <t xml:space="preserve">I2C IRQ handler implementation Part 1</t>
  </si>
  <si>
    <t xml:space="preserve">I2C IRQ handler implementation Part 2</t>
  </si>
  <si>
    <t xml:space="preserve">I2C IRQ handler implementation Part 3</t>
  </si>
  <si>
    <t xml:space="preserve">I2C IRQ handler implementation Part 4</t>
  </si>
  <si>
    <t xml:space="preserve">I2C IRQ handler implementation Part 5</t>
  </si>
  <si>
    <t xml:space="preserve">I2C IRQ handler implementation Part 6</t>
  </si>
  <si>
    <t xml:space="preserve">I2C IRQ handler implementation Part 7</t>
  </si>
  <si>
    <t xml:space="preserve">I2C IRQ handler implementation Part 8</t>
  </si>
  <si>
    <t xml:space="preserve">I2C error IRQ handler implementation</t>
  </si>
  <si>
    <t xml:space="preserve">Exercise : Testing I2C interrupt APIs part 1</t>
  </si>
  <si>
    <t xml:space="preserve">Exercise : Testing I2C interrupt APIs part 2</t>
  </si>
  <si>
    <t xml:space="preserve">I2C mode esclave</t>
  </si>
  <si>
    <t xml:space="preserve">I2C slave programming discussion</t>
  </si>
  <si>
    <t xml:space="preserve">I2C transfer sequence diagram for slave transmitter</t>
  </si>
  <si>
    <t xml:space="preserve">I2C slave support in driver</t>
  </si>
  <si>
    <t xml:space="preserve">Exercise : I2C slave programming</t>
  </si>
  <si>
    <t xml:space="preserve">Exercise : Modifying I2C transactions</t>
  </si>
  <si>
    <t xml:space="preserve">Common Problems in I2C and Debugging Tips</t>
  </si>
  <si>
    <t xml:space="preserve">Real time clock on LCD</t>
  </si>
  <si>
    <t xml:space="preserve">DS1307 RTC registers</t>
  </si>
  <si>
    <t xml:space="preserve">RTC code implementation</t>
  </si>
  <si>
    <t xml:space="preserve">RTC coding for set time and date</t>
  </si>
  <si>
    <t xml:space="preserve">RTC coding for get time and date</t>
  </si>
  <si>
    <t xml:space="preserve">BCD and Binary manipulation functions</t>
  </si>
  <si>
    <t xml:space="preserve">Writing RTC application</t>
  </si>
  <si>
    <t xml:space="preserve">LCD</t>
  </si>
  <si>
    <t xml:space="preserve">LCD connections</t>
  </si>
  <si>
    <t xml:space="preserve">Significance of LCD pins</t>
  </si>
  <si>
    <t xml:space="preserve">LCD initialization</t>
  </si>
  <si>
    <t xml:space="preserve">LCD initialization flowchart</t>
  </si>
  <si>
    <t xml:space="preserve">Sending command and data to LCD</t>
  </si>
  <si>
    <t xml:space="preserve">Creating LCD command code</t>
  </si>
  <si>
    <t xml:space="preserve">Testing</t>
  </si>
  <si>
    <t xml:space="preserve">Total (min)</t>
  </si>
  <si>
    <t xml:space="preserve">Total (h)</t>
  </si>
</sst>
</file>

<file path=xl/styles.xml><?xml version="1.0" encoding="utf-8"?>
<styleSheet xmlns="http://schemas.openxmlformats.org/spreadsheetml/2006/main">
  <numFmts count="6">
    <numFmt numFmtId="164" formatCode="General"/>
    <numFmt numFmtId="165" formatCode="0%"/>
    <numFmt numFmtId="166" formatCode="0.0"/>
    <numFmt numFmtId="167" formatCode="dd/mm/yyyy"/>
    <numFmt numFmtId="168" formatCode="ddd\ dd/mm/yyyy"/>
    <numFmt numFmtId="169" formatCode="0"/>
  </numFmts>
  <fonts count="1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7F7F7F"/>
      <name val="Arial"/>
      <family val="0"/>
      <charset val="1"/>
    </font>
    <font>
      <sz val="10"/>
      <color rgb="FF0000FF"/>
      <name val="Arial"/>
      <family val="0"/>
      <charset val="1"/>
    </font>
    <font>
      <sz val="10"/>
      <color rgb="FF7F7F7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1F2"/>
        <bgColor rgb="FFEDEEF0"/>
      </patternFill>
    </fill>
    <fill>
      <patternFill patternType="solid">
        <fgColor rgb="FFFFF2CC"/>
        <bgColor rgb="FFEDEEF0"/>
      </patternFill>
    </fill>
    <fill>
      <patternFill patternType="solid">
        <fgColor rgb="FFEDEEF0"/>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6" fontId="6"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8"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9" fontId="7" fillId="0"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9" fontId="10" fillId="4"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8" fontId="11" fillId="5"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9" fontId="11"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9" fontId="7"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color rgb="FF006100"/>
        <sz val="10"/>
      </font>
      <fill>
        <patternFill>
          <bgColor rgb="FFC6EFCE"/>
        </patternFill>
      </fill>
    </dxf>
    <dxf>
      <font>
        <name val="Arial"/>
        <charset val="1"/>
        <family val="0"/>
        <color rgb="FF9C5700"/>
        <sz val="10"/>
      </font>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EDEEF0"/>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6"/>
    <col collapsed="false" customWidth="true" hidden="false" outlineLevel="0" max="4" min="3" style="0" width="11"/>
    <col collapsed="false" customWidth="true" hidden="false" outlineLevel="0" max="5" min="5" style="0" width="44"/>
    <col collapsed="false" customWidth="true" hidden="false" outlineLevel="0" max="6" min="6" style="0" width="38"/>
    <col collapsed="false" customWidth="true" hidden="false" outlineLevel="0" max="8" min="7" style="0" width="13"/>
    <col collapsed="false" customWidth="true" hidden="false" outlineLevel="0" max="9" min="9" style="0" width="11"/>
    <col collapsed="false" customWidth="true" hidden="false" outlineLevel="0" max="12" min="10" style="0" width="12"/>
    <col collapsed="false" customWidth="true" hidden="false" outlineLevel="0" max="13" min="13" style="0" width="28"/>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row>
    <row r="5" customFormat="false" ht="15" hidden="false" customHeight="false" outlineLevel="0" collapsed="false">
      <c r="A5" s="4" t="s">
        <v>4</v>
      </c>
    </row>
    <row r="6" customFormat="false" ht="15" hidden="false" customHeight="false" outlineLevel="0" collapsed="false">
      <c r="A6" s="4" t="s">
        <v>5</v>
      </c>
    </row>
    <row r="7" customFormat="false" ht="15" hidden="false" customHeight="false" outlineLevel="0" collapsed="false">
      <c r="A7" s="4" t="s">
        <v>6</v>
      </c>
    </row>
    <row r="8" customFormat="false" ht="15" hidden="false" customHeight="false" outlineLevel="0" collapsed="false">
      <c r="A8" s="3" t="s">
        <v>7</v>
      </c>
      <c r="B8" s="5" t="n">
        <f aca="false">IF(SUM(I11:I14)=0,"",SUM(J11:J14)/SUM(I11:I14))</f>
        <v>0</v>
      </c>
    </row>
    <row r="10" customFormat="false" ht="31.5" hidden="false" customHeight="true" outlineLevel="0" collapsed="false">
      <c r="A10" s="6" t="s">
        <v>8</v>
      </c>
      <c r="B10" s="6" t="s">
        <v>9</v>
      </c>
      <c r="C10" s="6" t="s">
        <v>10</v>
      </c>
      <c r="D10" s="6" t="s">
        <v>11</v>
      </c>
      <c r="E10" s="6" t="s">
        <v>12</v>
      </c>
      <c r="F10" s="6" t="s">
        <v>13</v>
      </c>
      <c r="G10" s="6" t="s">
        <v>14</v>
      </c>
      <c r="H10" s="6" t="s">
        <v>15</v>
      </c>
      <c r="I10" s="6" t="s">
        <v>16</v>
      </c>
      <c r="J10" s="6" t="s">
        <v>17</v>
      </c>
      <c r="K10" s="6" t="s">
        <v>18</v>
      </c>
      <c r="L10" s="6" t="s">
        <v>19</v>
      </c>
      <c r="M10" s="6" t="s">
        <v>20</v>
      </c>
    </row>
    <row r="11" customFormat="false" ht="46.5" hidden="false" customHeight="true" outlineLevel="0" collapsed="false">
      <c r="A11" s="7" t="s">
        <v>21</v>
      </c>
      <c r="B11" s="8" t="s">
        <v>22</v>
      </c>
      <c r="C11" s="9" t="n">
        <f aca="false">SUMIFS(Leçons!$E$5:$E$289,Leçons!$B$5:$B$289,A11)</f>
        <v>703.4</v>
      </c>
      <c r="D11" s="10" t="str">
        <f aca="false">IF(C11=0,"",INT(ROUND(C11,0)/60)&amp;" h "&amp;TEXT(MOD(ROUND(C11,0),60),"00"))</f>
        <v>11 h 43</v>
      </c>
      <c r="E11" s="8" t="s">
        <v>23</v>
      </c>
      <c r="F11" s="8" t="s">
        <v>24</v>
      </c>
      <c r="G11" s="11" t="n">
        <f aca="false">IF(I11=0,"—",_xlfn.MINIFS('Plan quotidien'!$A$6:$A$104,'Plan quotidien'!$B$6:$B$104,A11))</f>
        <v>46307</v>
      </c>
      <c r="H11" s="11" t="n">
        <f aca="false">IF(I11=0,"—",_xlfn.MAXIFS('Plan quotidien'!$A$6:$A$104,'Plan quotidien'!$B$6:$B$104,A11))</f>
        <v>46338</v>
      </c>
      <c r="I11" s="10" t="n">
        <f aca="false">COUNTIF('Plan quotidien'!$B$6:$B$104,A11)</f>
        <v>24</v>
      </c>
      <c r="J11" s="10" t="n">
        <f aca="false">COUNTIFS('Plan quotidien'!$B$6:$B$104,A11,'Plan quotidien'!$K$6:$K$104,"Oui")</f>
        <v>0</v>
      </c>
      <c r="K11" s="12" t="n">
        <f aca="false">IF(I11=0,"",J11/I11)</f>
        <v>0</v>
      </c>
      <c r="L11" s="10" t="str">
        <f aca="false">IF(I11=0,"À planifier",IF(J11&gt;=I11,"Terminé",IF(J11&gt;0,"En cours","À faire")))</f>
        <v>À faire</v>
      </c>
      <c r="M11" s="8"/>
    </row>
    <row r="12" customFormat="false" ht="33.75" hidden="false" customHeight="true" outlineLevel="0" collapsed="false">
      <c r="A12" s="7" t="s">
        <v>25</v>
      </c>
      <c r="B12" s="8" t="s">
        <v>26</v>
      </c>
      <c r="C12" s="9" t="n">
        <f aca="false">SUMIFS(Leçons!$E$5:$E$289,Leçons!$B$5:$B$289,A12)</f>
        <v>105.91</v>
      </c>
      <c r="D12" s="10" t="str">
        <f aca="false">IF(C12=0,"",INT(ROUND(C12,0)/60)&amp;" h "&amp;TEXT(MOD(ROUND(C12,0),60),"00"))</f>
        <v>1 h 46</v>
      </c>
      <c r="E12" s="8" t="s">
        <v>27</v>
      </c>
      <c r="F12" s="8" t="s">
        <v>28</v>
      </c>
      <c r="G12" s="11" t="n">
        <f aca="false">IF(I12=0,"—",_xlfn.MINIFS('Plan quotidien'!$A$6:$A$104,'Plan quotidien'!$B$6:$B$104,A12))</f>
        <v>46339</v>
      </c>
      <c r="H12" s="11" t="n">
        <f aca="false">IF(I12=0,"—",_xlfn.MAXIFS('Plan quotidien'!$A$6:$A$104,'Plan quotidien'!$B$6:$B$104,A12))</f>
        <v>46353</v>
      </c>
      <c r="I12" s="10" t="n">
        <f aca="false">COUNTIF('Plan quotidien'!$B$6:$B$104,A12)</f>
        <v>11</v>
      </c>
      <c r="J12" s="10" t="n">
        <f aca="false">COUNTIFS('Plan quotidien'!$B$6:$B$104,A12,'Plan quotidien'!$K$6:$K$104,"Oui")</f>
        <v>0</v>
      </c>
      <c r="K12" s="12" t="n">
        <f aca="false">IF(I12=0,"",J12/I12)</f>
        <v>0</v>
      </c>
      <c r="L12" s="10" t="str">
        <f aca="false">IF(I12=0,"À planifier",IF(J12&gt;=I12,"Terminé",IF(J12&gt;0,"En cours","À faire")))</f>
        <v>À faire</v>
      </c>
      <c r="M12" s="8"/>
    </row>
    <row r="13" customFormat="false" ht="33.75" hidden="false" customHeight="true" outlineLevel="0" collapsed="false">
      <c r="A13" s="7" t="s">
        <v>29</v>
      </c>
      <c r="B13" s="8" t="s">
        <v>30</v>
      </c>
      <c r="C13" s="9" t="n">
        <f aca="false">SUMIFS(Leçons!$E$5:$E$289,Leçons!$B$5:$B$289,A13)</f>
        <v>318.12</v>
      </c>
      <c r="D13" s="10" t="str">
        <f aca="false">IF(C13=0,"",INT(ROUND(C13,0)/60)&amp;" h "&amp;TEXT(MOD(ROUND(C13,0),60),"00"))</f>
        <v>5 h 18</v>
      </c>
      <c r="E13" s="8" t="s">
        <v>31</v>
      </c>
      <c r="F13" s="8" t="s">
        <v>32</v>
      </c>
      <c r="G13" s="11" t="n">
        <f aca="false">IF(I13=0,"—",_xlfn.MINIFS('Plan quotidien'!$A$6:$A$104,'Plan quotidien'!$B$6:$B$104,A13))</f>
        <v>46356</v>
      </c>
      <c r="H13" s="11" t="n">
        <f aca="false">IF(I13=0,"—",_xlfn.MAXIFS('Plan quotidien'!$A$6:$A$104,'Plan quotidien'!$B$6:$B$104,A13))</f>
        <v>46402</v>
      </c>
      <c r="I13" s="10" t="n">
        <f aca="false">COUNTIF('Plan quotidien'!$B$6:$B$104,A13)</f>
        <v>25</v>
      </c>
      <c r="J13" s="10" t="n">
        <f aca="false">COUNTIFS('Plan quotidien'!$B$6:$B$104,A13,'Plan quotidien'!$K$6:$K$104,"Oui")</f>
        <v>0</v>
      </c>
      <c r="K13" s="12" t="n">
        <f aca="false">IF(I13=0,"",J13/I13)</f>
        <v>0</v>
      </c>
      <c r="L13" s="10" t="str">
        <f aca="false">IF(I13=0,"À planifier",IF(J13&gt;=I13,"Terminé",IF(J13&gt;0,"En cours","À faire")))</f>
        <v>À faire</v>
      </c>
      <c r="M13" s="8"/>
    </row>
    <row r="14" customFormat="false" ht="33.75" hidden="false" customHeight="true" outlineLevel="0" collapsed="false">
      <c r="A14" s="7" t="s">
        <v>33</v>
      </c>
      <c r="B14" s="8" t="s">
        <v>34</v>
      </c>
      <c r="C14" s="9" t="n">
        <f aca="false">SUMIFS(Leçons!$E$5:$E$289,Leçons!$B$5:$B$289,A14)</f>
        <v>250.88</v>
      </c>
      <c r="D14" s="10" t="str">
        <f aca="false">IF(C14=0,"",INT(ROUND(C14,0)/60)&amp;" h "&amp;TEXT(MOD(ROUND(C14,0),60),"00"))</f>
        <v>4 h 11</v>
      </c>
      <c r="E14" s="8" t="s">
        <v>35</v>
      </c>
      <c r="F14" s="8" t="s">
        <v>36</v>
      </c>
      <c r="G14" s="11" t="n">
        <f aca="false">IF(I14=0,"—",_xlfn.MINIFS('Plan quotidien'!$A$6:$A$104,'Plan quotidien'!$B$6:$B$104,A14))</f>
        <v>46426</v>
      </c>
      <c r="H14" s="11" t="n">
        <f aca="false">IF(I14=0,"—",_xlfn.MAXIFS('Plan quotidien'!$A$6:$A$104,'Plan quotidien'!$B$6:$B$104,A14))</f>
        <v>46443</v>
      </c>
      <c r="I14" s="10" t="n">
        <f aca="false">COUNTIF('Plan quotidien'!$B$6:$B$104,A14)</f>
        <v>14</v>
      </c>
      <c r="J14" s="10" t="n">
        <f aca="false">COUNTIFS('Plan quotidien'!$B$6:$B$104,A14,'Plan quotidien'!$K$6:$K$104,"Oui")</f>
        <v>0</v>
      </c>
      <c r="K14" s="12" t="n">
        <f aca="false">IF(I14=0,"",J14/I14)</f>
        <v>0</v>
      </c>
      <c r="L14" s="10" t="str">
        <f aca="false">IF(I14=0,"À planifier",IF(J14&gt;=I14,"Terminé",IF(J14&gt;0,"En cours","À faire")))</f>
        <v>À faire</v>
      </c>
      <c r="M14" s="8"/>
    </row>
    <row r="15" customFormat="false" ht="33.75" hidden="false" customHeight="true" outlineLevel="0" collapsed="false">
      <c r="A15" s="7" t="s">
        <v>37</v>
      </c>
      <c r="B15" s="8" t="s">
        <v>38</v>
      </c>
      <c r="C15" s="9" t="n">
        <f aca="false">SUMIFS(Leçons!$E$5:$E$289,Leçons!$B$5:$B$289,A15)</f>
        <v>12.57</v>
      </c>
      <c r="D15" s="10" t="str">
        <f aca="false">IF(C15=0,"",INT(ROUND(C15,0)/60)&amp;" h "&amp;TEXT(MOD(ROUND(C15,0),60),"00"))</f>
        <v>0 h 13</v>
      </c>
      <c r="E15" s="8" t="s">
        <v>39</v>
      </c>
      <c r="F15" s="8" t="s">
        <v>40</v>
      </c>
      <c r="G15" s="11" t="str">
        <f aca="false">IF(I15=0,"—",_xlfn.MINIFS('Plan quotidien'!$A$6:$A$104,'Plan quotidien'!$B$6:$B$104,A15))</f>
        <v>—</v>
      </c>
      <c r="H15" s="11" t="str">
        <f aca="false">IF(I15=0,"—",_xlfn.MAXIFS('Plan quotidien'!$A$6:$A$104,'Plan quotidien'!$B$6:$B$104,A15))</f>
        <v>—</v>
      </c>
      <c r="I15" s="10" t="n">
        <f aca="false">COUNTIF('Plan quotidien'!$B$6:$B$104,A15)</f>
        <v>0</v>
      </c>
      <c r="J15" s="10" t="n">
        <f aca="false">COUNTIFS('Plan quotidien'!$B$6:$B$104,A15,'Plan quotidien'!$K$6:$K$104,"Oui")</f>
        <v>0</v>
      </c>
      <c r="K15" s="12" t="str">
        <f aca="false">IF(I15=0,"",J15/I15)</f>
        <v/>
      </c>
      <c r="L15" s="10" t="str">
        <f aca="false">IF(I15=0,"À planifier",IF(J15&gt;=I15,"Terminé",IF(J15&gt;0,"En cours","À faire")))</f>
        <v>À planifier</v>
      </c>
      <c r="M15" s="8" t="s">
        <v>41</v>
      </c>
    </row>
    <row r="16" customFormat="false" ht="33.75" hidden="false" customHeight="true" outlineLevel="0" collapsed="false">
      <c r="A16" s="7" t="s">
        <v>42</v>
      </c>
      <c r="B16" s="8"/>
      <c r="C16" s="9" t="n">
        <f aca="false">SUMIFS(Leçons!$E$5:$E$289,Leçons!$B$5:$B$289,A16)</f>
        <v>0</v>
      </c>
      <c r="D16" s="10" t="str">
        <f aca="false">IF(C16=0,"",INT(ROUND(C16,0)/60)&amp;" h "&amp;TEXT(MOD(ROUND(C16,0),60),"00"))</f>
        <v/>
      </c>
      <c r="E16" s="8" t="s">
        <v>43</v>
      </c>
      <c r="F16" s="8" t="s">
        <v>44</v>
      </c>
      <c r="G16" s="11" t="str">
        <f aca="false">IF(I16=0,"—",_xlfn.MINIFS('Plan quotidien'!$A$6:$A$104,'Plan quotidien'!$B$6:$B$104,A16))</f>
        <v>—</v>
      </c>
      <c r="H16" s="11" t="str">
        <f aca="false">IF(I16=0,"—",_xlfn.MAXIFS('Plan quotidien'!$A$6:$A$104,'Plan quotidien'!$B$6:$B$104,A16))</f>
        <v>—</v>
      </c>
      <c r="I16" s="10" t="n">
        <f aca="false">COUNTIF('Plan quotidien'!$B$6:$B$104,A16)</f>
        <v>0</v>
      </c>
      <c r="J16" s="10" t="n">
        <f aca="false">COUNTIFS('Plan quotidien'!$B$6:$B$104,A16,'Plan quotidien'!$K$6:$K$104,"Oui")</f>
        <v>0</v>
      </c>
      <c r="K16" s="12" t="str">
        <f aca="false">IF(I16=0,"",J16/I16)</f>
        <v/>
      </c>
      <c r="L16" s="10" t="str">
        <f aca="false">IF(I16=0,"À planifier",IF(J16&gt;=I16,"Terminé",IF(J16&gt;0,"En cours","À faire")))</f>
        <v>À planifier</v>
      </c>
      <c r="M16" s="8" t="s">
        <v>45</v>
      </c>
    </row>
    <row r="17" customFormat="false" ht="33.75" hidden="false" customHeight="true" outlineLevel="0" collapsed="false">
      <c r="A17" s="7" t="s">
        <v>46</v>
      </c>
      <c r="B17" s="8" t="s">
        <v>47</v>
      </c>
      <c r="C17" s="9" t="n">
        <f aca="false">SUMIFS(Leçons!$E$5:$E$289,Leçons!$B$5:$B$289,A17)</f>
        <v>0</v>
      </c>
      <c r="D17" s="10" t="str">
        <f aca="false">IF(C17=0,"",INT(ROUND(C17,0)/60)&amp;" h "&amp;TEXT(MOD(ROUND(C17,0),60),"00"))</f>
        <v/>
      </c>
      <c r="E17" s="8" t="s">
        <v>48</v>
      </c>
      <c r="F17" s="8" t="s">
        <v>49</v>
      </c>
      <c r="G17" s="11" t="str">
        <f aca="false">IF(I17=0,"—",_xlfn.MINIFS('Plan quotidien'!$A$6:$A$104,'Plan quotidien'!$B$6:$B$104,A17))</f>
        <v>—</v>
      </c>
      <c r="H17" s="11" t="str">
        <f aca="false">IF(I17=0,"—",_xlfn.MAXIFS('Plan quotidien'!$A$6:$A$104,'Plan quotidien'!$B$6:$B$104,A17))</f>
        <v>—</v>
      </c>
      <c r="I17" s="10" t="n">
        <f aca="false">COUNTIF('Plan quotidien'!$B$6:$B$104,A17)</f>
        <v>0</v>
      </c>
      <c r="J17" s="10" t="n">
        <f aca="false">COUNTIFS('Plan quotidien'!$B$6:$B$104,A17,'Plan quotidien'!$K$6:$K$104,"Oui")</f>
        <v>0</v>
      </c>
      <c r="K17" s="12" t="str">
        <f aca="false">IF(I17=0,"",J17/I17)</f>
        <v/>
      </c>
      <c r="L17" s="10" t="str">
        <f aca="false">IF(I17=0,"À planifier",IF(J17&gt;=I17,"Terminé",IF(J17&gt;0,"En cours","À faire")))</f>
        <v>À planifier</v>
      </c>
      <c r="M17" s="8" t="s">
        <v>50</v>
      </c>
    </row>
    <row r="18" customFormat="false" ht="33.75" hidden="false" customHeight="true" outlineLevel="0" collapsed="false">
      <c r="A18" s="7" t="s">
        <v>51</v>
      </c>
      <c r="B18" s="8" t="s">
        <v>52</v>
      </c>
      <c r="C18" s="9" t="n">
        <f aca="false">SUMIFS(Leçons!$E$5:$E$289,Leçons!$B$5:$B$289,A18)</f>
        <v>303.7</v>
      </c>
      <c r="D18" s="10" t="str">
        <f aca="false">IF(C18=0,"",INT(ROUND(C18,0)/60)&amp;" h "&amp;TEXT(MOD(ROUND(C18,0),60),"00"))</f>
        <v>5 h 04</v>
      </c>
      <c r="E18" s="8" t="s">
        <v>53</v>
      </c>
      <c r="F18" s="8"/>
      <c r="G18" s="11" t="str">
        <f aca="false">IF(I18=0,"—",_xlfn.MINIFS('Plan quotidien'!$A$6:$A$104,'Plan quotidien'!$B$6:$B$104,A18))</f>
        <v>—</v>
      </c>
      <c r="H18" s="11" t="str">
        <f aca="false">IF(I18=0,"—",_xlfn.MAXIFS('Plan quotidien'!$A$6:$A$104,'Plan quotidien'!$B$6:$B$104,A18))</f>
        <v>—</v>
      </c>
      <c r="I18" s="10" t="n">
        <f aca="false">COUNTIF('Plan quotidien'!$B$6:$B$104,A18)</f>
        <v>0</v>
      </c>
      <c r="J18" s="10" t="n">
        <f aca="false">COUNTIFS('Plan quotidien'!$B$6:$B$104,A18,'Plan quotidien'!$K$6:$K$104,"Oui")</f>
        <v>0</v>
      </c>
      <c r="K18" s="12" t="str">
        <f aca="false">IF(I18=0,"",J18/I18)</f>
        <v/>
      </c>
      <c r="L18" s="10" t="s">
        <v>51</v>
      </c>
      <c r="M18" s="8" t="s">
        <v>54</v>
      </c>
    </row>
    <row r="19" customFormat="false" ht="15" hidden="false" customHeight="false" outlineLevel="0" collapsed="false">
      <c r="A19" s="13" t="s">
        <v>55</v>
      </c>
      <c r="B19" s="13"/>
      <c r="C19" s="14" t="n">
        <f aca="false">SUM(C11:C18)</f>
        <v>1694.58</v>
      </c>
      <c r="D19" s="13" t="str">
        <f aca="false">INT(ROUND(C19,0)/60)&amp;" h "&amp;TEXT(MOD(ROUND(C19,0),60),"00")</f>
        <v>28 h 15</v>
      </c>
      <c r="E19" s="13"/>
      <c r="F19" s="13"/>
      <c r="G19" s="13"/>
      <c r="H19" s="13"/>
      <c r="I19" s="13" t="n">
        <f aca="false">SUM(I11:I18)</f>
        <v>74</v>
      </c>
      <c r="J19" s="13" t="n">
        <f aca="false">SUM(J11:J18)</f>
        <v>0</v>
      </c>
      <c r="K19" s="13"/>
      <c r="L19" s="13"/>
      <c r="M19" s="13"/>
    </row>
    <row r="21" customFormat="false" ht="15" hidden="false" customHeight="false" outlineLevel="0" collapsed="false">
      <c r="A21" s="3" t="s">
        <v>56</v>
      </c>
    </row>
    <row r="22" customFormat="false" ht="15" hidden="false" customHeight="false" outlineLevel="0" collapsed="false">
      <c r="A22" s="4" t="s">
        <v>57</v>
      </c>
    </row>
    <row r="23" customFormat="false" ht="15" hidden="false" customHeight="false" outlineLevel="0" collapsed="false">
      <c r="A23" s="4" t="s">
        <v>58</v>
      </c>
    </row>
    <row r="24" customFormat="false" ht="15" hidden="false" customHeight="false" outlineLevel="0" collapsed="false">
      <c r="A24" s="4" t="s">
        <v>59</v>
      </c>
    </row>
    <row r="25" customFormat="false" ht="15" hidden="false" customHeight="false" outlineLevel="0" collapsed="false">
      <c r="A25" s="4" t="s">
        <v>60</v>
      </c>
    </row>
    <row r="26" customFormat="false" ht="15" hidden="false" customHeight="false" outlineLevel="0" collapsed="false">
      <c r="A26" s="4" t="s">
        <v>61</v>
      </c>
    </row>
  </sheetData>
  <conditionalFormatting sqref="L11:L18">
    <cfRule type="cellIs" priority="2" operator="equal" aboveAverage="0" equalAverage="0" bottom="0" percent="0" rank="0" text="" dxfId="0">
      <formula>"Terminé"</formula>
    </cfRule>
    <cfRule type="cellIs" priority="3" operator="equal" aboveAverage="0" equalAverage="0" bottom="0" percent="0" rank="0" text="" dxfId="1">
      <formula>"En cours"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24"/>
    <col collapsed="false" customWidth="true" hidden="false" outlineLevel="0" max="3" min="3" style="0" width="17"/>
    <col collapsed="false" customWidth="true" hidden="false" outlineLevel="0" max="4" min="4" style="0" width="62"/>
    <col collapsed="false" customWidth="true" hidden="false" outlineLevel="0" max="5" min="5" style="0" width="10"/>
    <col collapsed="false" customWidth="true" hidden="false" outlineLevel="0" max="6" min="6" style="0" width="56"/>
    <col collapsed="false" customWidth="true" hidden="false" outlineLevel="0" max="7" min="7" style="0" width="34"/>
    <col collapsed="false" customWidth="true" hidden="false" outlineLevel="0" max="10" min="8" style="0" width="12"/>
    <col collapsed="false" customWidth="true" hidden="false" outlineLevel="0" max="11" min="11" style="0" width="10"/>
    <col collapsed="false" customWidth="true" hidden="false" outlineLevel="0" max="12" min="12" style="0" width="38"/>
  </cols>
  <sheetData>
    <row r="1" customFormat="false" ht="19.7" hidden="false" customHeight="false" outlineLevel="0" collapsed="false">
      <c r="A1" s="1" t="s">
        <v>62</v>
      </c>
    </row>
    <row r="2" customFormat="false" ht="15" hidden="false" customHeight="false" outlineLevel="0" collapsed="false">
      <c r="A2" s="2" t="s">
        <v>63</v>
      </c>
    </row>
    <row r="4" customFormat="false" ht="31.5" hidden="false" customHeight="true" outlineLevel="0" collapsed="false">
      <c r="A4" s="6" t="s">
        <v>64</v>
      </c>
      <c r="B4" s="6" t="s">
        <v>8</v>
      </c>
      <c r="C4" s="6" t="s">
        <v>65</v>
      </c>
      <c r="D4" s="6" t="s">
        <v>66</v>
      </c>
      <c r="E4" s="6" t="s">
        <v>10</v>
      </c>
      <c r="F4" s="6" t="s">
        <v>67</v>
      </c>
      <c r="G4" s="6" t="s">
        <v>68</v>
      </c>
      <c r="H4" s="6" t="s">
        <v>69</v>
      </c>
      <c r="I4" s="6" t="s">
        <v>70</v>
      </c>
      <c r="J4" s="6" t="s">
        <v>71</v>
      </c>
      <c r="K4" s="6" t="s">
        <v>72</v>
      </c>
      <c r="L4" s="6" t="s">
        <v>73</v>
      </c>
    </row>
    <row r="5" customFormat="false" ht="39.75" hidden="false" customHeight="true" outlineLevel="0" collapsed="false">
      <c r="A5" s="15" t="s">
        <v>74</v>
      </c>
      <c r="B5" s="16" t="s">
        <v>21</v>
      </c>
      <c r="C5" s="16" t="s">
        <v>75</v>
      </c>
      <c r="D5" s="16" t="s">
        <v>76</v>
      </c>
      <c r="E5" s="15" t="n">
        <v>17</v>
      </c>
      <c r="F5" s="16" t="s">
        <v>77</v>
      </c>
      <c r="G5" s="16" t="s">
        <v>78</v>
      </c>
      <c r="H5" s="15" t="s">
        <v>79</v>
      </c>
      <c r="I5" s="15" t="s">
        <v>79</v>
      </c>
      <c r="J5" s="15" t="n">
        <v>90</v>
      </c>
      <c r="K5" s="15" t="s">
        <v>79</v>
      </c>
      <c r="L5" s="16" t="s">
        <v>80</v>
      </c>
    </row>
    <row r="6" customFormat="false" ht="177" hidden="false" customHeight="true" outlineLevel="0" collapsed="false">
      <c r="A6" s="17" t="n">
        <v>46307</v>
      </c>
      <c r="B6" s="18" t="s">
        <v>21</v>
      </c>
      <c r="C6" s="18" t="s">
        <v>75</v>
      </c>
      <c r="D6" s="18" t="s">
        <v>81</v>
      </c>
      <c r="E6" s="19" t="n">
        <f aca="false">SUMIFS(Leçons!$E$5:$E$289,Leçons!$F$5:$F$289,A6)</f>
        <v>32.74</v>
      </c>
      <c r="F6" s="18" t="s">
        <v>82</v>
      </c>
      <c r="G6" s="18" t="s">
        <v>83</v>
      </c>
      <c r="H6" s="20"/>
      <c r="I6" s="20"/>
      <c r="J6" s="21"/>
      <c r="K6" s="10" t="str">
        <f aca="false">IF(AND(I6="Oui",OR(E6=0,H6="Oui")),"Oui","")</f>
        <v/>
      </c>
      <c r="L6" s="22"/>
    </row>
    <row r="7" customFormat="false" ht="72.75" hidden="false" customHeight="true" outlineLevel="0" collapsed="false">
      <c r="A7" s="17" t="n">
        <v>46308</v>
      </c>
      <c r="B7" s="18" t="s">
        <v>21</v>
      </c>
      <c r="C7" s="18" t="s">
        <v>75</v>
      </c>
      <c r="D7" s="18" t="s">
        <v>84</v>
      </c>
      <c r="E7" s="19" t="n">
        <f aca="false">SUMIFS(Leçons!$E$5:$E$289,Leçons!$F$5:$F$289,A7)</f>
        <v>35.85</v>
      </c>
      <c r="F7" s="18" t="s">
        <v>85</v>
      </c>
      <c r="G7" s="18" t="s">
        <v>83</v>
      </c>
      <c r="H7" s="20"/>
      <c r="I7" s="20"/>
      <c r="J7" s="21"/>
      <c r="K7" s="10" t="str">
        <f aca="false">IF(AND(I7="Oui",OR(E7=0,H7="Oui")),"Oui","")</f>
        <v/>
      </c>
      <c r="L7" s="22"/>
    </row>
    <row r="8" customFormat="false" ht="85.5" hidden="false" customHeight="true" outlineLevel="0" collapsed="false">
      <c r="A8" s="17" t="n">
        <v>46309</v>
      </c>
      <c r="B8" s="18" t="s">
        <v>21</v>
      </c>
      <c r="C8" s="18" t="s">
        <v>75</v>
      </c>
      <c r="D8" s="18" t="s">
        <v>86</v>
      </c>
      <c r="E8" s="19" t="n">
        <f aca="false">SUMIFS(Leçons!$E$5:$E$289,Leçons!$F$5:$F$289,A8)</f>
        <v>34.48</v>
      </c>
      <c r="F8" s="18" t="s">
        <v>87</v>
      </c>
      <c r="G8" s="18" t="s">
        <v>83</v>
      </c>
      <c r="H8" s="20"/>
      <c r="I8" s="20"/>
      <c r="J8" s="21"/>
      <c r="K8" s="10" t="str">
        <f aca="false">IF(AND(I8="Oui",OR(E8=0,H8="Oui")),"Oui","")</f>
        <v/>
      </c>
      <c r="L8" s="22"/>
    </row>
    <row r="9" customFormat="false" ht="111.75" hidden="false" customHeight="true" outlineLevel="0" collapsed="false">
      <c r="A9" s="17" t="n">
        <v>46310</v>
      </c>
      <c r="B9" s="18" t="s">
        <v>21</v>
      </c>
      <c r="C9" s="18" t="s">
        <v>75</v>
      </c>
      <c r="D9" s="18" t="s">
        <v>88</v>
      </c>
      <c r="E9" s="19" t="n">
        <f aca="false">SUMIFS(Leçons!$E$5:$E$289,Leçons!$F$5:$F$289,A9)</f>
        <v>39.79</v>
      </c>
      <c r="F9" s="18" t="s">
        <v>89</v>
      </c>
      <c r="G9" s="18" t="s">
        <v>78</v>
      </c>
      <c r="H9" s="20"/>
      <c r="I9" s="20"/>
      <c r="J9" s="21"/>
      <c r="K9" s="10" t="str">
        <f aca="false">IF(AND(I9="Oui",OR(E9=0,H9="Oui")),"Oui","")</f>
        <v/>
      </c>
      <c r="L9" s="22"/>
    </row>
    <row r="10" customFormat="false" ht="72.75" hidden="false" customHeight="true" outlineLevel="0" collapsed="false">
      <c r="A10" s="17" t="n">
        <v>46311</v>
      </c>
      <c r="B10" s="18" t="s">
        <v>21</v>
      </c>
      <c r="C10" s="18" t="s">
        <v>75</v>
      </c>
      <c r="D10" s="18" t="s">
        <v>90</v>
      </c>
      <c r="E10" s="19" t="n">
        <f aca="false">SUMIFS(Leçons!$E$5:$E$289,Leçons!$F$5:$F$289,A10)</f>
        <v>31.92</v>
      </c>
      <c r="F10" s="18" t="s">
        <v>91</v>
      </c>
      <c r="G10" s="18" t="s">
        <v>78</v>
      </c>
      <c r="H10" s="20"/>
      <c r="I10" s="20"/>
      <c r="J10" s="21"/>
      <c r="K10" s="10" t="str">
        <f aca="false">IF(AND(I10="Oui",OR(E10=0,H10="Oui")),"Oui","")</f>
        <v/>
      </c>
      <c r="L10" s="22"/>
    </row>
    <row r="11" customFormat="false" ht="46.5" hidden="false" customHeight="true" outlineLevel="0" collapsed="false">
      <c r="A11" s="17" t="n">
        <v>46314</v>
      </c>
      <c r="B11" s="18" t="s">
        <v>21</v>
      </c>
      <c r="C11" s="18" t="s">
        <v>75</v>
      </c>
      <c r="D11" s="18" t="s">
        <v>92</v>
      </c>
      <c r="E11" s="19" t="n">
        <f aca="false">SUMIFS(Leçons!$E$5:$E$289,Leçons!$F$5:$F$289,A11)</f>
        <v>35.12</v>
      </c>
      <c r="F11" s="18" t="s">
        <v>93</v>
      </c>
      <c r="G11" s="18" t="s">
        <v>94</v>
      </c>
      <c r="H11" s="20"/>
      <c r="I11" s="20"/>
      <c r="J11" s="21"/>
      <c r="K11" s="10" t="str">
        <f aca="false">IF(AND(I11="Oui",OR(E11=0,H11="Oui")),"Oui","")</f>
        <v/>
      </c>
      <c r="L11" s="22"/>
    </row>
    <row r="12" customFormat="false" ht="60" hidden="false" customHeight="true" outlineLevel="0" collapsed="false">
      <c r="A12" s="17" t="n">
        <v>46315</v>
      </c>
      <c r="B12" s="18" t="s">
        <v>21</v>
      </c>
      <c r="C12" s="18" t="s">
        <v>75</v>
      </c>
      <c r="D12" s="18" t="s">
        <v>95</v>
      </c>
      <c r="E12" s="19" t="n">
        <f aca="false">SUMIFS(Leçons!$E$5:$E$289,Leçons!$F$5:$F$289,A12)</f>
        <v>34.79</v>
      </c>
      <c r="F12" s="18" t="s">
        <v>93</v>
      </c>
      <c r="G12" s="18" t="s">
        <v>94</v>
      </c>
      <c r="H12" s="20"/>
      <c r="I12" s="20"/>
      <c r="J12" s="21"/>
      <c r="K12" s="10" t="str">
        <f aca="false">IF(AND(I12="Oui",OR(E12=0,H12="Oui")),"Oui","")</f>
        <v/>
      </c>
      <c r="L12" s="22"/>
    </row>
    <row r="13" customFormat="false" ht="46.5" hidden="false" customHeight="true" outlineLevel="0" collapsed="false">
      <c r="A13" s="17" t="n">
        <v>46316</v>
      </c>
      <c r="B13" s="18" t="s">
        <v>21</v>
      </c>
      <c r="C13" s="18" t="s">
        <v>75</v>
      </c>
      <c r="D13" s="18" t="s">
        <v>96</v>
      </c>
      <c r="E13" s="19" t="n">
        <f aca="false">SUMIFS(Leçons!$E$5:$E$289,Leçons!$F$5:$F$289,A13)</f>
        <v>34.23</v>
      </c>
      <c r="F13" s="18" t="s">
        <v>97</v>
      </c>
      <c r="G13" s="18" t="s">
        <v>94</v>
      </c>
      <c r="H13" s="20"/>
      <c r="I13" s="20"/>
      <c r="J13" s="21"/>
      <c r="K13" s="10" t="str">
        <f aca="false">IF(AND(I13="Oui",OR(E13=0,H13="Oui")),"Oui","")</f>
        <v/>
      </c>
      <c r="L13" s="22"/>
    </row>
    <row r="14" customFormat="false" ht="85.5" hidden="false" customHeight="true" outlineLevel="0" collapsed="false">
      <c r="A14" s="17" t="n">
        <v>46317</v>
      </c>
      <c r="B14" s="18" t="s">
        <v>21</v>
      </c>
      <c r="C14" s="18" t="s">
        <v>75</v>
      </c>
      <c r="D14" s="18" t="s">
        <v>98</v>
      </c>
      <c r="E14" s="19" t="n">
        <f aca="false">SUMIFS(Leçons!$E$5:$E$289,Leçons!$F$5:$F$289,A14)</f>
        <v>37.65</v>
      </c>
      <c r="F14" s="18" t="s">
        <v>97</v>
      </c>
      <c r="G14" s="18" t="s">
        <v>94</v>
      </c>
      <c r="H14" s="20"/>
      <c r="I14" s="20"/>
      <c r="J14" s="21"/>
      <c r="K14" s="10" t="str">
        <f aca="false">IF(AND(I14="Oui",OR(E14=0,H14="Oui")),"Oui","")</f>
        <v/>
      </c>
      <c r="L14" s="22"/>
    </row>
    <row r="15" customFormat="false" ht="163.5" hidden="false" customHeight="true" outlineLevel="0" collapsed="false">
      <c r="A15" s="17" t="n">
        <v>46318</v>
      </c>
      <c r="B15" s="18" t="s">
        <v>21</v>
      </c>
      <c r="C15" s="18" t="s">
        <v>75</v>
      </c>
      <c r="D15" s="18" t="s">
        <v>99</v>
      </c>
      <c r="E15" s="19" t="n">
        <f aca="false">SUMIFS(Leçons!$E$5:$E$289,Leçons!$F$5:$F$289,A15)</f>
        <v>28.99</v>
      </c>
      <c r="F15" s="18" t="s">
        <v>100</v>
      </c>
      <c r="G15" s="18" t="s">
        <v>101</v>
      </c>
      <c r="H15" s="20"/>
      <c r="I15" s="20"/>
      <c r="J15" s="21"/>
      <c r="K15" s="10" t="str">
        <f aca="false">IF(AND(I15="Oui",OR(E15=0,H15="Oui")),"Oui","")</f>
        <v/>
      </c>
      <c r="L15" s="22"/>
    </row>
    <row r="16" customFormat="false" ht="138" hidden="false" customHeight="true" outlineLevel="0" collapsed="false">
      <c r="A16" s="17" t="n">
        <v>46321</v>
      </c>
      <c r="B16" s="18" t="s">
        <v>21</v>
      </c>
      <c r="C16" s="18" t="s">
        <v>75</v>
      </c>
      <c r="D16" s="18" t="s">
        <v>102</v>
      </c>
      <c r="E16" s="19" t="n">
        <f aca="false">SUMIFS(Leçons!$E$5:$E$289,Leçons!$F$5:$F$289,A16)</f>
        <v>30.34</v>
      </c>
      <c r="F16" s="18" t="s">
        <v>103</v>
      </c>
      <c r="G16" s="18" t="s">
        <v>101</v>
      </c>
      <c r="H16" s="20"/>
      <c r="I16" s="20"/>
      <c r="J16" s="21"/>
      <c r="K16" s="10" t="str">
        <f aca="false">IF(AND(I16="Oui",OR(E16=0,H16="Oui")),"Oui","")</f>
        <v/>
      </c>
      <c r="L16" s="22"/>
    </row>
    <row r="17" customFormat="false" ht="267.75" hidden="false" customHeight="true" outlineLevel="0" collapsed="false">
      <c r="A17" s="17" t="n">
        <v>46322</v>
      </c>
      <c r="B17" s="18" t="s">
        <v>21</v>
      </c>
      <c r="C17" s="18" t="s">
        <v>75</v>
      </c>
      <c r="D17" s="18" t="s">
        <v>104</v>
      </c>
      <c r="E17" s="19" t="n">
        <f aca="false">SUMIFS(Leçons!$E$5:$E$289,Leçons!$F$5:$F$289,A17)</f>
        <v>32.61</v>
      </c>
      <c r="F17" s="18" t="s">
        <v>105</v>
      </c>
      <c r="G17" s="18" t="s">
        <v>101</v>
      </c>
      <c r="H17" s="20"/>
      <c r="I17" s="20"/>
      <c r="J17" s="21"/>
      <c r="K17" s="10" t="str">
        <f aca="false">IF(AND(I17="Oui",OR(E17=0,H17="Oui")),"Oui","")</f>
        <v/>
      </c>
      <c r="L17" s="22"/>
    </row>
    <row r="18" customFormat="false" ht="111.75" hidden="false" customHeight="true" outlineLevel="0" collapsed="false">
      <c r="A18" s="17" t="n">
        <v>46323</v>
      </c>
      <c r="B18" s="18" t="s">
        <v>21</v>
      </c>
      <c r="C18" s="18" t="s">
        <v>75</v>
      </c>
      <c r="D18" s="18" t="s">
        <v>106</v>
      </c>
      <c r="E18" s="19" t="n">
        <f aca="false">SUMIFS(Leçons!$E$5:$E$289,Leçons!$F$5:$F$289,A18)</f>
        <v>32.82</v>
      </c>
      <c r="F18" s="18" t="s">
        <v>105</v>
      </c>
      <c r="G18" s="18" t="s">
        <v>101</v>
      </c>
      <c r="H18" s="20"/>
      <c r="I18" s="20"/>
      <c r="J18" s="21"/>
      <c r="K18" s="10" t="str">
        <f aca="false">IF(AND(I18="Oui",OR(E18=0,H18="Oui")),"Oui","")</f>
        <v/>
      </c>
      <c r="L18" s="22"/>
    </row>
    <row r="19" customFormat="false" ht="99" hidden="false" customHeight="true" outlineLevel="0" collapsed="false">
      <c r="A19" s="17" t="n">
        <v>46324</v>
      </c>
      <c r="B19" s="18" t="s">
        <v>21</v>
      </c>
      <c r="C19" s="18" t="s">
        <v>75</v>
      </c>
      <c r="D19" s="18" t="s">
        <v>107</v>
      </c>
      <c r="E19" s="19" t="n">
        <f aca="false">SUMIFS(Leçons!$E$5:$E$289,Leçons!$F$5:$F$289,A19)</f>
        <v>37.74</v>
      </c>
      <c r="F19" s="18" t="s">
        <v>105</v>
      </c>
      <c r="G19" s="18" t="s">
        <v>101</v>
      </c>
      <c r="H19" s="20"/>
      <c r="I19" s="20"/>
      <c r="J19" s="21"/>
      <c r="K19" s="10" t="str">
        <f aca="false">IF(AND(I19="Oui",OR(E19=0,H19="Oui")),"Oui","")</f>
        <v/>
      </c>
      <c r="L19" s="22"/>
    </row>
    <row r="20" customFormat="false" ht="85.5" hidden="false" customHeight="true" outlineLevel="0" collapsed="false">
      <c r="A20" s="17" t="n">
        <v>46325</v>
      </c>
      <c r="B20" s="18" t="s">
        <v>21</v>
      </c>
      <c r="C20" s="18" t="s">
        <v>75</v>
      </c>
      <c r="D20" s="18" t="s">
        <v>108</v>
      </c>
      <c r="E20" s="19" t="n">
        <f aca="false">SUMIFS(Leçons!$E$5:$E$289,Leçons!$F$5:$F$289,A20)</f>
        <v>30.8</v>
      </c>
      <c r="F20" s="18" t="s">
        <v>105</v>
      </c>
      <c r="G20" s="18" t="s">
        <v>101</v>
      </c>
      <c r="H20" s="20"/>
      <c r="I20" s="20"/>
      <c r="J20" s="21"/>
      <c r="K20" s="10" t="str">
        <f aca="false">IF(AND(I20="Oui",OR(E20=0,H20="Oui")),"Oui","")</f>
        <v/>
      </c>
      <c r="L20" s="22"/>
    </row>
    <row r="21" customFormat="false" ht="138" hidden="false" customHeight="true" outlineLevel="0" collapsed="false">
      <c r="A21" s="17" t="n">
        <v>46328</v>
      </c>
      <c r="B21" s="18" t="s">
        <v>21</v>
      </c>
      <c r="C21" s="18" t="s">
        <v>75</v>
      </c>
      <c r="D21" s="18" t="s">
        <v>109</v>
      </c>
      <c r="E21" s="19" t="n">
        <f aca="false">SUMIFS(Leçons!$E$5:$E$289,Leçons!$F$5:$F$289,A21)</f>
        <v>29.87</v>
      </c>
      <c r="F21" s="18" t="s">
        <v>110</v>
      </c>
      <c r="G21" s="18" t="s">
        <v>111</v>
      </c>
      <c r="H21" s="20"/>
      <c r="I21" s="20"/>
      <c r="J21" s="21"/>
      <c r="K21" s="10" t="str">
        <f aca="false">IF(AND(I21="Oui",OR(E21=0,H21="Oui")),"Oui","")</f>
        <v/>
      </c>
      <c r="L21" s="22"/>
    </row>
    <row r="22" customFormat="false" ht="85.5" hidden="false" customHeight="true" outlineLevel="0" collapsed="false">
      <c r="A22" s="17" t="n">
        <v>46329</v>
      </c>
      <c r="B22" s="18" t="s">
        <v>21</v>
      </c>
      <c r="C22" s="18" t="s">
        <v>75</v>
      </c>
      <c r="D22" s="18" t="s">
        <v>112</v>
      </c>
      <c r="E22" s="19" t="n">
        <f aca="false">SUMIFS(Leçons!$E$5:$E$289,Leçons!$F$5:$F$289,A22)</f>
        <v>31.84</v>
      </c>
      <c r="F22" s="18" t="s">
        <v>110</v>
      </c>
      <c r="G22" s="18" t="s">
        <v>111</v>
      </c>
      <c r="H22" s="20"/>
      <c r="I22" s="20"/>
      <c r="J22" s="21"/>
      <c r="K22" s="10" t="str">
        <f aca="false">IF(AND(I22="Oui",OR(E22=0,H22="Oui")),"Oui","")</f>
        <v/>
      </c>
      <c r="L22" s="22"/>
    </row>
    <row r="23" customFormat="false" ht="60" hidden="false" customHeight="true" outlineLevel="0" collapsed="false">
      <c r="A23" s="17" t="n">
        <v>46330</v>
      </c>
      <c r="B23" s="18" t="s">
        <v>21</v>
      </c>
      <c r="C23" s="18" t="s">
        <v>75</v>
      </c>
      <c r="D23" s="18" t="s">
        <v>113</v>
      </c>
      <c r="E23" s="19" t="n">
        <f aca="false">SUMIFS(Leçons!$E$5:$E$289,Leçons!$F$5:$F$289,A23)</f>
        <v>30.98</v>
      </c>
      <c r="F23" s="18" t="s">
        <v>114</v>
      </c>
      <c r="G23" s="18" t="s">
        <v>111</v>
      </c>
      <c r="H23" s="20"/>
      <c r="I23" s="20"/>
      <c r="J23" s="21"/>
      <c r="K23" s="10" t="str">
        <f aca="false">IF(AND(I23="Oui",OR(E23=0,H23="Oui")),"Oui","")</f>
        <v/>
      </c>
      <c r="L23" s="22"/>
    </row>
    <row r="24" customFormat="false" ht="33.75" hidden="false" customHeight="true" outlineLevel="0" collapsed="false">
      <c r="A24" s="17" t="n">
        <v>46331</v>
      </c>
      <c r="B24" s="18" t="s">
        <v>21</v>
      </c>
      <c r="C24" s="18" t="s">
        <v>75</v>
      </c>
      <c r="D24" s="18" t="s">
        <v>115</v>
      </c>
      <c r="E24" s="19" t="n">
        <f aca="false">SUMIFS(Leçons!$E$5:$E$289,Leçons!$F$5:$F$289,A24)</f>
        <v>22.52</v>
      </c>
      <c r="F24" s="18" t="s">
        <v>114</v>
      </c>
      <c r="G24" s="18" t="s">
        <v>111</v>
      </c>
      <c r="H24" s="20"/>
      <c r="I24" s="20"/>
      <c r="J24" s="21"/>
      <c r="K24" s="10" t="str">
        <f aca="false">IF(AND(I24="Oui",OR(E24=0,H24="Oui")),"Oui","")</f>
        <v/>
      </c>
      <c r="L24" s="22"/>
    </row>
    <row r="25" customFormat="false" ht="33.75" hidden="false" customHeight="true" outlineLevel="0" collapsed="false">
      <c r="A25" s="17" t="n">
        <v>46332</v>
      </c>
      <c r="B25" s="18" t="s">
        <v>21</v>
      </c>
      <c r="C25" s="18" t="s">
        <v>75</v>
      </c>
      <c r="D25" s="18" t="s">
        <v>116</v>
      </c>
      <c r="E25" s="19" t="n">
        <f aca="false">SUMIFS(Leçons!$E$5:$E$289,Leçons!$F$5:$F$289,A25)</f>
        <v>30.46</v>
      </c>
      <c r="F25" s="18" t="s">
        <v>114</v>
      </c>
      <c r="G25" s="18" t="s">
        <v>111</v>
      </c>
      <c r="H25" s="20"/>
      <c r="I25" s="20"/>
      <c r="J25" s="21"/>
      <c r="K25" s="10" t="str">
        <f aca="false">IF(AND(I25="Oui",OR(E25=0,H25="Oui")),"Oui","")</f>
        <v/>
      </c>
      <c r="L25" s="22"/>
    </row>
    <row r="26" customFormat="false" ht="46.5" hidden="false" customHeight="true" outlineLevel="0" collapsed="false">
      <c r="A26" s="17" t="n">
        <v>46335</v>
      </c>
      <c r="B26" s="18" t="s">
        <v>21</v>
      </c>
      <c r="C26" s="18" t="s">
        <v>75</v>
      </c>
      <c r="D26" s="18" t="s">
        <v>117</v>
      </c>
      <c r="E26" s="19" t="n">
        <f aca="false">SUMIFS(Leçons!$E$5:$E$289,Leçons!$F$5:$F$289,A26)</f>
        <v>30.94</v>
      </c>
      <c r="F26" s="18" t="s">
        <v>118</v>
      </c>
      <c r="G26" s="18" t="s">
        <v>111</v>
      </c>
      <c r="H26" s="20"/>
      <c r="I26" s="20"/>
      <c r="J26" s="21"/>
      <c r="K26" s="10" t="str">
        <f aca="false">IF(AND(I26="Oui",OR(E26=0,H26="Oui")),"Oui","")</f>
        <v/>
      </c>
      <c r="L26" s="22"/>
    </row>
    <row r="27" customFormat="false" ht="33.75" hidden="false" customHeight="true" outlineLevel="0" collapsed="false">
      <c r="A27" s="17" t="n">
        <v>46336</v>
      </c>
      <c r="B27" s="18" t="s">
        <v>21</v>
      </c>
      <c r="C27" s="18" t="s">
        <v>75</v>
      </c>
      <c r="D27" s="18" t="s">
        <v>119</v>
      </c>
      <c r="E27" s="19" t="n">
        <f aca="false">SUMIFS(Leçons!$E$5:$E$289,Leçons!$F$5:$F$289,A27)</f>
        <v>16.92</v>
      </c>
      <c r="F27" s="18" t="s">
        <v>118</v>
      </c>
      <c r="G27" s="18" t="s">
        <v>111</v>
      </c>
      <c r="H27" s="20"/>
      <c r="I27" s="20"/>
      <c r="J27" s="21"/>
      <c r="K27" s="10" t="str">
        <f aca="false">IF(AND(I27="Oui",OR(E27=0,H27="Oui")),"Oui","")</f>
        <v/>
      </c>
      <c r="L27" s="22"/>
    </row>
    <row r="28" customFormat="false" ht="46.5" hidden="false" customHeight="true" outlineLevel="0" collapsed="false">
      <c r="A28" s="17" t="n">
        <v>46337</v>
      </c>
      <c r="B28" s="18" t="s">
        <v>21</v>
      </c>
      <c r="C28" s="18" t="s">
        <v>120</v>
      </c>
      <c r="D28" s="18"/>
      <c r="E28" s="19" t="n">
        <f aca="false">SUMIFS(Leçons!$E$5:$E$289,Leçons!$F$5:$F$289,A28)</f>
        <v>0</v>
      </c>
      <c r="F28" s="18" t="s">
        <v>121</v>
      </c>
      <c r="G28" s="18" t="s">
        <v>122</v>
      </c>
      <c r="H28" s="20"/>
      <c r="I28" s="20"/>
      <c r="J28" s="21"/>
      <c r="K28" s="10" t="str">
        <f aca="false">IF(AND(I28="Oui",OR(E28=0,H28="Oui")),"Oui","")</f>
        <v/>
      </c>
      <c r="L28" s="22"/>
    </row>
    <row r="29" customFormat="false" ht="33.75" hidden="false" customHeight="true" outlineLevel="0" collapsed="false">
      <c r="A29" s="17" t="n">
        <v>46338</v>
      </c>
      <c r="B29" s="18" t="s">
        <v>21</v>
      </c>
      <c r="C29" s="18" t="s">
        <v>123</v>
      </c>
      <c r="D29" s="18"/>
      <c r="E29" s="19" t="n">
        <f aca="false">SUMIFS(Leçons!$E$5:$E$289,Leçons!$F$5:$F$289,A29)</f>
        <v>0</v>
      </c>
      <c r="F29" s="18" t="s">
        <v>124</v>
      </c>
      <c r="G29" s="18"/>
      <c r="H29" s="20"/>
      <c r="I29" s="20"/>
      <c r="J29" s="21"/>
      <c r="K29" s="10" t="str">
        <f aca="false">IF(AND(I29="Oui",OR(E29=0,H29="Oui")),"Oui","")</f>
        <v/>
      </c>
      <c r="L29" s="22"/>
    </row>
    <row r="30" customFormat="false" ht="163.5" hidden="false" customHeight="true" outlineLevel="0" collapsed="false">
      <c r="A30" s="17" t="n">
        <v>46339</v>
      </c>
      <c r="B30" s="18" t="s">
        <v>25</v>
      </c>
      <c r="C30" s="18" t="s">
        <v>75</v>
      </c>
      <c r="D30" s="18" t="s">
        <v>125</v>
      </c>
      <c r="E30" s="19" t="n">
        <f aca="false">SUMIFS(Leçons!$E$5:$E$289,Leçons!$F$5:$F$289,A30)</f>
        <v>32.37</v>
      </c>
      <c r="F30" s="18" t="s">
        <v>126</v>
      </c>
      <c r="G30" s="18" t="s">
        <v>127</v>
      </c>
      <c r="H30" s="20"/>
      <c r="I30" s="20"/>
      <c r="J30" s="21"/>
      <c r="K30" s="10" t="str">
        <f aca="false">IF(AND(I30="Oui",OR(E30=0,H30="Oui")),"Oui","")</f>
        <v/>
      </c>
      <c r="L30" s="22"/>
    </row>
    <row r="31" customFormat="false" ht="99" hidden="false" customHeight="true" outlineLevel="0" collapsed="false">
      <c r="A31" s="17" t="n">
        <v>46342</v>
      </c>
      <c r="B31" s="18" t="s">
        <v>25</v>
      </c>
      <c r="C31" s="18" t="s">
        <v>75</v>
      </c>
      <c r="D31" s="18" t="s">
        <v>128</v>
      </c>
      <c r="E31" s="19" t="n">
        <f aca="false">SUMIFS(Leçons!$E$5:$E$289,Leçons!$F$5:$F$289,A31)</f>
        <v>36.29</v>
      </c>
      <c r="F31" s="18" t="s">
        <v>129</v>
      </c>
      <c r="G31" s="18" t="s">
        <v>127</v>
      </c>
      <c r="H31" s="20"/>
      <c r="I31" s="20"/>
      <c r="J31" s="21"/>
      <c r="K31" s="10" t="str">
        <f aca="false">IF(AND(I31="Oui",OR(E31=0,H31="Oui")),"Oui","")</f>
        <v/>
      </c>
      <c r="L31" s="22"/>
    </row>
    <row r="32" customFormat="false" ht="60" hidden="false" customHeight="true" outlineLevel="0" collapsed="false">
      <c r="A32" s="17" t="n">
        <v>46343</v>
      </c>
      <c r="B32" s="18" t="s">
        <v>25</v>
      </c>
      <c r="C32" s="18" t="s">
        <v>75</v>
      </c>
      <c r="D32" s="18" t="s">
        <v>130</v>
      </c>
      <c r="E32" s="19" t="n">
        <f aca="false">SUMIFS(Leçons!$E$5:$E$289,Leçons!$F$5:$F$289,A32)</f>
        <v>30.77</v>
      </c>
      <c r="F32" s="18" t="s">
        <v>129</v>
      </c>
      <c r="G32" s="18" t="s">
        <v>127</v>
      </c>
      <c r="H32" s="20"/>
      <c r="I32" s="20"/>
      <c r="J32" s="21"/>
      <c r="K32" s="10" t="str">
        <f aca="false">IF(AND(I32="Oui",OR(E32=0,H32="Oui")),"Oui","")</f>
        <v/>
      </c>
      <c r="L32" s="22"/>
    </row>
    <row r="33" customFormat="false" ht="60" hidden="false" customHeight="true" outlineLevel="0" collapsed="false">
      <c r="A33" s="17" t="n">
        <v>46344</v>
      </c>
      <c r="B33" s="18" t="s">
        <v>25</v>
      </c>
      <c r="C33" s="18" t="s">
        <v>75</v>
      </c>
      <c r="D33" s="18" t="s">
        <v>131</v>
      </c>
      <c r="E33" s="19" t="n">
        <f aca="false">SUMIFS(Leçons!$E$5:$E$289,Leçons!$F$5:$F$289,A33)</f>
        <v>6.48</v>
      </c>
      <c r="F33" s="18" t="s">
        <v>129</v>
      </c>
      <c r="G33" s="18" t="s">
        <v>127</v>
      </c>
      <c r="H33" s="20"/>
      <c r="I33" s="20"/>
      <c r="J33" s="21"/>
      <c r="K33" s="10" t="str">
        <f aca="false">IF(AND(I33="Oui",OR(E33=0,H33="Oui")),"Oui","")</f>
        <v/>
      </c>
      <c r="L33" s="22"/>
    </row>
    <row r="34" customFormat="false" ht="33.75" hidden="false" customHeight="true" outlineLevel="0" collapsed="false">
      <c r="A34" s="17" t="n">
        <v>46345</v>
      </c>
      <c r="B34" s="18" t="s">
        <v>25</v>
      </c>
      <c r="C34" s="18" t="s">
        <v>120</v>
      </c>
      <c r="D34" s="18"/>
      <c r="E34" s="19" t="n">
        <f aca="false">SUMIFS(Leçons!$E$5:$E$289,Leçons!$F$5:$F$289,A34)</f>
        <v>0</v>
      </c>
      <c r="F34" s="18" t="s">
        <v>132</v>
      </c>
      <c r="G34" s="18" t="s">
        <v>133</v>
      </c>
      <c r="H34" s="20"/>
      <c r="I34" s="20"/>
      <c r="J34" s="21"/>
      <c r="K34" s="10" t="str">
        <f aca="false">IF(AND(I34="Oui",OR(E34=0,H34="Oui")),"Oui","")</f>
        <v/>
      </c>
      <c r="L34" s="22"/>
    </row>
    <row r="35" customFormat="false" ht="33.75" hidden="false" customHeight="true" outlineLevel="0" collapsed="false">
      <c r="A35" s="17" t="n">
        <v>46346</v>
      </c>
      <c r="B35" s="18" t="s">
        <v>25</v>
      </c>
      <c r="C35" s="18" t="s">
        <v>120</v>
      </c>
      <c r="D35" s="18"/>
      <c r="E35" s="19" t="n">
        <f aca="false">SUMIFS(Leçons!$E$5:$E$289,Leçons!$F$5:$F$289,A35)</f>
        <v>0</v>
      </c>
      <c r="F35" s="18" t="s">
        <v>134</v>
      </c>
      <c r="G35" s="18" t="s">
        <v>133</v>
      </c>
      <c r="H35" s="20"/>
      <c r="I35" s="20"/>
      <c r="J35" s="21"/>
      <c r="K35" s="10" t="str">
        <f aca="false">IF(AND(I35="Oui",OR(E35=0,H35="Oui")),"Oui","")</f>
        <v/>
      </c>
      <c r="L35" s="22"/>
    </row>
    <row r="36" customFormat="false" ht="33.75" hidden="false" customHeight="true" outlineLevel="0" collapsed="false">
      <c r="A36" s="17" t="n">
        <v>46349</v>
      </c>
      <c r="B36" s="18" t="s">
        <v>25</v>
      </c>
      <c r="C36" s="18" t="s">
        <v>120</v>
      </c>
      <c r="D36" s="18"/>
      <c r="E36" s="19" t="n">
        <f aca="false">SUMIFS(Leçons!$E$5:$E$289,Leçons!$F$5:$F$289,A36)</f>
        <v>0</v>
      </c>
      <c r="F36" s="18" t="s">
        <v>135</v>
      </c>
      <c r="G36" s="18" t="s">
        <v>133</v>
      </c>
      <c r="H36" s="20"/>
      <c r="I36" s="20"/>
      <c r="J36" s="21"/>
      <c r="K36" s="10" t="str">
        <f aca="false">IF(AND(I36="Oui",OR(E36=0,H36="Oui")),"Oui","")</f>
        <v/>
      </c>
      <c r="L36" s="22"/>
    </row>
    <row r="37" customFormat="false" ht="33.75" hidden="false" customHeight="true" outlineLevel="0" collapsed="false">
      <c r="A37" s="17" t="n">
        <v>46350</v>
      </c>
      <c r="B37" s="18" t="s">
        <v>25</v>
      </c>
      <c r="C37" s="18" t="s">
        <v>120</v>
      </c>
      <c r="D37" s="18"/>
      <c r="E37" s="19" t="n">
        <f aca="false">SUMIFS(Leçons!$E$5:$E$289,Leçons!$F$5:$F$289,A37)</f>
        <v>0</v>
      </c>
      <c r="F37" s="18" t="s">
        <v>136</v>
      </c>
      <c r="G37" s="18" t="s">
        <v>133</v>
      </c>
      <c r="H37" s="20"/>
      <c r="I37" s="20"/>
      <c r="J37" s="21"/>
      <c r="K37" s="10" t="str">
        <f aca="false">IF(AND(I37="Oui",OR(E37=0,H37="Oui")),"Oui","")</f>
        <v/>
      </c>
      <c r="L37" s="22"/>
    </row>
    <row r="38" customFormat="false" ht="33.75" hidden="false" customHeight="true" outlineLevel="0" collapsed="false">
      <c r="A38" s="17" t="n">
        <v>46351</v>
      </c>
      <c r="B38" s="18" t="s">
        <v>25</v>
      </c>
      <c r="C38" s="18" t="s">
        <v>120</v>
      </c>
      <c r="D38" s="18"/>
      <c r="E38" s="19" t="n">
        <f aca="false">SUMIFS(Leçons!$E$5:$E$289,Leçons!$F$5:$F$289,A38)</f>
        <v>0</v>
      </c>
      <c r="F38" s="18" t="s">
        <v>137</v>
      </c>
      <c r="G38" s="18" t="s">
        <v>133</v>
      </c>
      <c r="H38" s="20"/>
      <c r="I38" s="20"/>
      <c r="J38" s="21"/>
      <c r="K38" s="10" t="str">
        <f aca="false">IF(AND(I38="Oui",OR(E38=0,H38="Oui")),"Oui","")</f>
        <v/>
      </c>
      <c r="L38" s="22"/>
    </row>
    <row r="39" customFormat="false" ht="33.75" hidden="false" customHeight="true" outlineLevel="0" collapsed="false">
      <c r="A39" s="17" t="n">
        <v>46352</v>
      </c>
      <c r="B39" s="18" t="s">
        <v>25</v>
      </c>
      <c r="C39" s="18" t="s">
        <v>120</v>
      </c>
      <c r="D39" s="18"/>
      <c r="E39" s="19" t="n">
        <f aca="false">SUMIFS(Leçons!$E$5:$E$289,Leçons!$F$5:$F$289,A39)</f>
        <v>0</v>
      </c>
      <c r="F39" s="18" t="s">
        <v>138</v>
      </c>
      <c r="G39" s="18" t="s">
        <v>133</v>
      </c>
      <c r="H39" s="20"/>
      <c r="I39" s="20"/>
      <c r="J39" s="21"/>
      <c r="K39" s="10" t="str">
        <f aca="false">IF(AND(I39="Oui",OR(E39=0,H39="Oui")),"Oui","")</f>
        <v/>
      </c>
      <c r="L39" s="22"/>
    </row>
    <row r="40" customFormat="false" ht="33.75" hidden="false" customHeight="true" outlineLevel="0" collapsed="false">
      <c r="A40" s="17" t="n">
        <v>46353</v>
      </c>
      <c r="B40" s="18" t="s">
        <v>25</v>
      </c>
      <c r="C40" s="18" t="s">
        <v>123</v>
      </c>
      <c r="D40" s="18"/>
      <c r="E40" s="19" t="n">
        <f aca="false">SUMIFS(Leçons!$E$5:$E$289,Leçons!$F$5:$F$289,A40)</f>
        <v>0</v>
      </c>
      <c r="F40" s="18" t="s">
        <v>124</v>
      </c>
      <c r="G40" s="18"/>
      <c r="H40" s="20"/>
      <c r="I40" s="20"/>
      <c r="J40" s="21"/>
      <c r="K40" s="10" t="str">
        <f aca="false">IF(AND(I40="Oui",OR(E40=0,H40="Oui")),"Oui","")</f>
        <v/>
      </c>
      <c r="L40" s="22"/>
    </row>
    <row r="41" customFormat="false" ht="111.75" hidden="false" customHeight="true" outlineLevel="0" collapsed="false">
      <c r="A41" s="17" t="n">
        <v>46356</v>
      </c>
      <c r="B41" s="18" t="s">
        <v>29</v>
      </c>
      <c r="C41" s="18" t="s">
        <v>75</v>
      </c>
      <c r="D41" s="18" t="s">
        <v>139</v>
      </c>
      <c r="E41" s="19" t="n">
        <f aca="false">SUMIFS(Leçons!$E$5:$E$289,Leçons!$F$5:$F$289,A41)</f>
        <v>31.75</v>
      </c>
      <c r="F41" s="18" t="s">
        <v>140</v>
      </c>
      <c r="G41" s="18" t="s">
        <v>141</v>
      </c>
      <c r="H41" s="20"/>
      <c r="I41" s="20"/>
      <c r="J41" s="21"/>
      <c r="K41" s="10" t="str">
        <f aca="false">IF(AND(I41="Oui",OR(E41=0,H41="Oui")),"Oui","")</f>
        <v/>
      </c>
      <c r="L41" s="22"/>
    </row>
    <row r="42" customFormat="false" ht="72.75" hidden="false" customHeight="true" outlineLevel="0" collapsed="false">
      <c r="A42" s="17" t="n">
        <v>46357</v>
      </c>
      <c r="B42" s="18" t="s">
        <v>29</v>
      </c>
      <c r="C42" s="18" t="s">
        <v>75</v>
      </c>
      <c r="D42" s="18" t="s">
        <v>142</v>
      </c>
      <c r="E42" s="19" t="n">
        <f aca="false">SUMIFS(Leçons!$E$5:$E$289,Leçons!$F$5:$F$289,A42)</f>
        <v>30.47</v>
      </c>
      <c r="F42" s="18" t="s">
        <v>140</v>
      </c>
      <c r="G42" s="18" t="s">
        <v>141</v>
      </c>
      <c r="H42" s="20"/>
      <c r="I42" s="20"/>
      <c r="J42" s="21"/>
      <c r="K42" s="10" t="str">
        <f aca="false">IF(AND(I42="Oui",OR(E42=0,H42="Oui")),"Oui","")</f>
        <v/>
      </c>
      <c r="L42" s="22"/>
    </row>
    <row r="43" customFormat="false" ht="85.5" hidden="false" customHeight="true" outlineLevel="0" collapsed="false">
      <c r="A43" s="17" t="n">
        <v>46358</v>
      </c>
      <c r="B43" s="18" t="s">
        <v>29</v>
      </c>
      <c r="C43" s="18" t="s">
        <v>75</v>
      </c>
      <c r="D43" s="18" t="s">
        <v>143</v>
      </c>
      <c r="E43" s="19" t="n">
        <f aca="false">SUMIFS(Leçons!$E$5:$E$289,Leçons!$F$5:$F$289,A43)</f>
        <v>23.5</v>
      </c>
      <c r="F43" s="18" t="s">
        <v>144</v>
      </c>
      <c r="G43" s="18" t="s">
        <v>141</v>
      </c>
      <c r="H43" s="20"/>
      <c r="I43" s="20"/>
      <c r="J43" s="21"/>
      <c r="K43" s="10" t="str">
        <f aca="false">IF(AND(I43="Oui",OR(E43=0,H43="Oui")),"Oui","")</f>
        <v/>
      </c>
      <c r="L43" s="22"/>
    </row>
    <row r="44" customFormat="false" ht="72.75" hidden="false" customHeight="true" outlineLevel="0" collapsed="false">
      <c r="A44" s="17" t="n">
        <v>46359</v>
      </c>
      <c r="B44" s="18" t="s">
        <v>29</v>
      </c>
      <c r="C44" s="18" t="s">
        <v>75</v>
      </c>
      <c r="D44" s="18" t="s">
        <v>145</v>
      </c>
      <c r="E44" s="19" t="n">
        <f aca="false">SUMIFS(Leçons!$E$5:$E$289,Leçons!$F$5:$F$289,A44)</f>
        <v>33.45</v>
      </c>
      <c r="F44" s="18" t="s">
        <v>144</v>
      </c>
      <c r="G44" s="18" t="s">
        <v>141</v>
      </c>
      <c r="H44" s="20"/>
      <c r="I44" s="20"/>
      <c r="J44" s="21"/>
      <c r="K44" s="10" t="str">
        <f aca="false">IF(AND(I44="Oui",OR(E44=0,H44="Oui")),"Oui","")</f>
        <v/>
      </c>
      <c r="L44" s="22"/>
    </row>
    <row r="45" customFormat="false" ht="124.5" hidden="false" customHeight="true" outlineLevel="0" collapsed="false">
      <c r="A45" s="17" t="n">
        <v>46360</v>
      </c>
      <c r="B45" s="18" t="s">
        <v>29</v>
      </c>
      <c r="C45" s="18" t="s">
        <v>75</v>
      </c>
      <c r="D45" s="18" t="s">
        <v>146</v>
      </c>
      <c r="E45" s="19" t="n">
        <f aca="false">SUMIFS(Leçons!$E$5:$E$289,Leçons!$F$5:$F$289,A45)</f>
        <v>34.9</v>
      </c>
      <c r="F45" s="18" t="s">
        <v>147</v>
      </c>
      <c r="G45" s="18" t="s">
        <v>141</v>
      </c>
      <c r="H45" s="20"/>
      <c r="I45" s="20"/>
      <c r="J45" s="21"/>
      <c r="K45" s="10" t="str">
        <f aca="false">IF(AND(I45="Oui",OR(E45=0,H45="Oui")),"Oui","")</f>
        <v/>
      </c>
      <c r="L45" s="22"/>
    </row>
    <row r="46" customFormat="false" ht="46.5" hidden="false" customHeight="true" outlineLevel="0" collapsed="false">
      <c r="A46" s="17" t="n">
        <v>46363</v>
      </c>
      <c r="B46" s="18" t="s">
        <v>29</v>
      </c>
      <c r="C46" s="18" t="s">
        <v>75</v>
      </c>
      <c r="D46" s="18" t="s">
        <v>148</v>
      </c>
      <c r="E46" s="19" t="n">
        <f aca="false">SUMIFS(Leçons!$E$5:$E$289,Leçons!$F$5:$F$289,A46)</f>
        <v>34.25</v>
      </c>
      <c r="F46" s="18" t="s">
        <v>147</v>
      </c>
      <c r="G46" s="18" t="s">
        <v>141</v>
      </c>
      <c r="H46" s="20"/>
      <c r="I46" s="20"/>
      <c r="J46" s="21"/>
      <c r="K46" s="10" t="str">
        <f aca="false">IF(AND(I46="Oui",OR(E46=0,H46="Oui")),"Oui","")</f>
        <v/>
      </c>
      <c r="L46" s="22"/>
    </row>
    <row r="47" customFormat="false" ht="111.75" hidden="false" customHeight="true" outlineLevel="0" collapsed="false">
      <c r="A47" s="17" t="n">
        <v>46364</v>
      </c>
      <c r="B47" s="18" t="s">
        <v>29</v>
      </c>
      <c r="C47" s="18" t="s">
        <v>75</v>
      </c>
      <c r="D47" s="18" t="s">
        <v>149</v>
      </c>
      <c r="E47" s="19" t="n">
        <f aca="false">SUMIFS(Leçons!$E$5:$E$289,Leçons!$F$5:$F$289,A47)</f>
        <v>36.3</v>
      </c>
      <c r="F47" s="18" t="s">
        <v>150</v>
      </c>
      <c r="G47" s="18" t="s">
        <v>151</v>
      </c>
      <c r="H47" s="20"/>
      <c r="I47" s="20"/>
      <c r="J47" s="21"/>
      <c r="K47" s="10" t="str">
        <f aca="false">IF(AND(I47="Oui",OR(E47=0,H47="Oui")),"Oui","")</f>
        <v/>
      </c>
      <c r="L47" s="22"/>
    </row>
    <row r="48" customFormat="false" ht="72.75" hidden="false" customHeight="true" outlineLevel="0" collapsed="false">
      <c r="A48" s="17" t="n">
        <v>46365</v>
      </c>
      <c r="B48" s="18" t="s">
        <v>29</v>
      </c>
      <c r="C48" s="18" t="s">
        <v>75</v>
      </c>
      <c r="D48" s="18" t="s">
        <v>152</v>
      </c>
      <c r="E48" s="19" t="n">
        <f aca="false">SUMIFS(Leçons!$E$5:$E$289,Leçons!$F$5:$F$289,A48)</f>
        <v>34.54</v>
      </c>
      <c r="F48" s="18" t="s">
        <v>150</v>
      </c>
      <c r="G48" s="18" t="s">
        <v>151</v>
      </c>
      <c r="H48" s="20"/>
      <c r="I48" s="20"/>
      <c r="J48" s="21"/>
      <c r="K48" s="10" t="str">
        <f aca="false">IF(AND(I48="Oui",OR(E48=0,H48="Oui")),"Oui","")</f>
        <v/>
      </c>
      <c r="L48" s="22"/>
    </row>
    <row r="49" customFormat="false" ht="85.5" hidden="false" customHeight="true" outlineLevel="0" collapsed="false">
      <c r="A49" s="17" t="n">
        <v>46366</v>
      </c>
      <c r="B49" s="18" t="s">
        <v>29</v>
      </c>
      <c r="C49" s="18" t="s">
        <v>75</v>
      </c>
      <c r="D49" s="18" t="s">
        <v>153</v>
      </c>
      <c r="E49" s="19" t="n">
        <f aca="false">SUMIFS(Leçons!$E$5:$E$289,Leçons!$F$5:$F$289,A49)</f>
        <v>36.9</v>
      </c>
      <c r="F49" s="18" t="s">
        <v>154</v>
      </c>
      <c r="G49" s="18" t="s">
        <v>151</v>
      </c>
      <c r="H49" s="20"/>
      <c r="I49" s="20"/>
      <c r="J49" s="21"/>
      <c r="K49" s="10" t="str">
        <f aca="false">IF(AND(I49="Oui",OR(E49=0,H49="Oui")),"Oui","")</f>
        <v/>
      </c>
      <c r="L49" s="22"/>
    </row>
    <row r="50" customFormat="false" ht="33.75" hidden="false" customHeight="true" outlineLevel="0" collapsed="false">
      <c r="A50" s="17" t="n">
        <v>46367</v>
      </c>
      <c r="B50" s="18" t="s">
        <v>29</v>
      </c>
      <c r="C50" s="18" t="s">
        <v>75</v>
      </c>
      <c r="D50" s="18" t="s">
        <v>155</v>
      </c>
      <c r="E50" s="19" t="n">
        <f aca="false">SUMIFS(Leçons!$E$5:$E$289,Leçons!$F$5:$F$289,A50)</f>
        <v>22.06</v>
      </c>
      <c r="F50" s="18" t="s">
        <v>154</v>
      </c>
      <c r="G50" s="18" t="s">
        <v>151</v>
      </c>
      <c r="H50" s="20"/>
      <c r="I50" s="20"/>
      <c r="J50" s="21"/>
      <c r="K50" s="10" t="str">
        <f aca="false">IF(AND(I50="Oui",OR(E50=0,H50="Oui")),"Oui","")</f>
        <v/>
      </c>
      <c r="L50" s="22"/>
    </row>
    <row r="51" customFormat="false" ht="33.75" hidden="false" customHeight="true" outlineLevel="0" collapsed="false">
      <c r="A51" s="17" t="n">
        <v>46370</v>
      </c>
      <c r="B51" s="18" t="s">
        <v>29</v>
      </c>
      <c r="C51" s="18" t="s">
        <v>120</v>
      </c>
      <c r="D51" s="18"/>
      <c r="E51" s="19" t="n">
        <f aca="false">SUMIFS(Leçons!$E$5:$E$289,Leçons!$F$5:$F$289,A51)</f>
        <v>0</v>
      </c>
      <c r="F51" s="18" t="s">
        <v>156</v>
      </c>
      <c r="G51" s="18" t="s">
        <v>157</v>
      </c>
      <c r="H51" s="20"/>
      <c r="I51" s="20"/>
      <c r="J51" s="21"/>
      <c r="K51" s="10" t="str">
        <f aca="false">IF(AND(I51="Oui",OR(E51=0,H51="Oui")),"Oui","")</f>
        <v/>
      </c>
      <c r="L51" s="22"/>
    </row>
    <row r="52" customFormat="false" ht="33.75" hidden="false" customHeight="true" outlineLevel="0" collapsed="false">
      <c r="A52" s="17" t="n">
        <v>46371</v>
      </c>
      <c r="B52" s="18" t="s">
        <v>29</v>
      </c>
      <c r="C52" s="18" t="s">
        <v>120</v>
      </c>
      <c r="D52" s="18"/>
      <c r="E52" s="19" t="n">
        <f aca="false">SUMIFS(Leçons!$E$5:$E$289,Leçons!$F$5:$F$289,A52)</f>
        <v>0</v>
      </c>
      <c r="F52" s="18" t="s">
        <v>158</v>
      </c>
      <c r="G52" s="18" t="s">
        <v>157</v>
      </c>
      <c r="H52" s="20"/>
      <c r="I52" s="20"/>
      <c r="J52" s="21"/>
      <c r="K52" s="10" t="str">
        <f aca="false">IF(AND(I52="Oui",OR(E52=0,H52="Oui")),"Oui","")</f>
        <v/>
      </c>
      <c r="L52" s="22"/>
    </row>
    <row r="53" customFormat="false" ht="33.75" hidden="false" customHeight="true" outlineLevel="0" collapsed="false">
      <c r="A53" s="17" t="n">
        <v>46372</v>
      </c>
      <c r="B53" s="18" t="s">
        <v>29</v>
      </c>
      <c r="C53" s="18" t="s">
        <v>120</v>
      </c>
      <c r="D53" s="18"/>
      <c r="E53" s="19" t="n">
        <f aca="false">SUMIFS(Leçons!$E$5:$E$289,Leçons!$F$5:$F$289,A53)</f>
        <v>0</v>
      </c>
      <c r="F53" s="18" t="s">
        <v>159</v>
      </c>
      <c r="G53" s="18" t="s">
        <v>157</v>
      </c>
      <c r="H53" s="20"/>
      <c r="I53" s="20"/>
      <c r="J53" s="21"/>
      <c r="K53" s="10" t="str">
        <f aca="false">IF(AND(I53="Oui",OR(E53=0,H53="Oui")),"Oui","")</f>
        <v/>
      </c>
      <c r="L53" s="22"/>
    </row>
    <row r="54" customFormat="false" ht="33.75" hidden="false" customHeight="true" outlineLevel="0" collapsed="false">
      <c r="A54" s="17" t="n">
        <v>46373</v>
      </c>
      <c r="B54" s="18" t="s">
        <v>29</v>
      </c>
      <c r="C54" s="18" t="s">
        <v>120</v>
      </c>
      <c r="D54" s="18"/>
      <c r="E54" s="19" t="n">
        <f aca="false">SUMIFS(Leçons!$E$5:$E$289,Leçons!$F$5:$F$289,A54)</f>
        <v>0</v>
      </c>
      <c r="F54" s="18" t="s">
        <v>160</v>
      </c>
      <c r="G54" s="18" t="s">
        <v>157</v>
      </c>
      <c r="H54" s="20"/>
      <c r="I54" s="20"/>
      <c r="J54" s="21"/>
      <c r="K54" s="10" t="str">
        <f aca="false">IF(AND(I54="Oui",OR(E54=0,H54="Oui")),"Oui","")</f>
        <v/>
      </c>
      <c r="L54" s="22"/>
    </row>
    <row r="55" customFormat="false" ht="33.75" hidden="false" customHeight="true" outlineLevel="0" collapsed="false">
      <c r="A55" s="17" t="n">
        <v>46374</v>
      </c>
      <c r="B55" s="18" t="s">
        <v>29</v>
      </c>
      <c r="C55" s="18" t="s">
        <v>120</v>
      </c>
      <c r="D55" s="18"/>
      <c r="E55" s="19" t="n">
        <f aca="false">SUMIFS(Leçons!$E$5:$E$289,Leçons!$F$5:$F$289,A55)</f>
        <v>0</v>
      </c>
      <c r="F55" s="18" t="s">
        <v>161</v>
      </c>
      <c r="G55" s="18" t="s">
        <v>157</v>
      </c>
      <c r="H55" s="20"/>
      <c r="I55" s="20"/>
      <c r="J55" s="21"/>
      <c r="K55" s="10" t="str">
        <f aca="false">IF(AND(I55="Oui",OR(E55=0,H55="Oui")),"Oui","")</f>
        <v/>
      </c>
      <c r="L55" s="22"/>
    </row>
    <row r="56" customFormat="false" ht="33.75" hidden="false" customHeight="true" outlineLevel="0" collapsed="false">
      <c r="A56" s="23" t="n">
        <v>46377</v>
      </c>
      <c r="B56" s="24" t="s">
        <v>162</v>
      </c>
      <c r="C56" s="24" t="s">
        <v>163</v>
      </c>
      <c r="D56" s="24"/>
      <c r="E56" s="25" t="n">
        <f aca="false">SUMIFS(Leçons!$E$5:$E$289,Leçons!$F$5:$F$289,A56)</f>
        <v>0</v>
      </c>
      <c r="F56" s="24" t="s">
        <v>164</v>
      </c>
      <c r="G56" s="24"/>
      <c r="H56" s="26"/>
      <c r="I56" s="26"/>
      <c r="J56" s="27"/>
      <c r="K56" s="26"/>
      <c r="L56" s="28"/>
    </row>
    <row r="57" customFormat="false" ht="33.75" hidden="false" customHeight="true" outlineLevel="0" collapsed="false">
      <c r="A57" s="23" t="n">
        <v>46378</v>
      </c>
      <c r="B57" s="24" t="s">
        <v>162</v>
      </c>
      <c r="C57" s="24" t="s">
        <v>163</v>
      </c>
      <c r="D57" s="24"/>
      <c r="E57" s="25" t="n">
        <f aca="false">SUMIFS(Leçons!$E$5:$E$289,Leçons!$F$5:$F$289,A57)</f>
        <v>0</v>
      </c>
      <c r="F57" s="24" t="s">
        <v>164</v>
      </c>
      <c r="G57" s="24"/>
      <c r="H57" s="26"/>
      <c r="I57" s="26"/>
      <c r="J57" s="27"/>
      <c r="K57" s="26"/>
      <c r="L57" s="28"/>
    </row>
    <row r="58" customFormat="false" ht="33.75" hidden="false" customHeight="true" outlineLevel="0" collapsed="false">
      <c r="A58" s="23" t="n">
        <v>46379</v>
      </c>
      <c r="B58" s="24" t="s">
        <v>162</v>
      </c>
      <c r="C58" s="24" t="s">
        <v>163</v>
      </c>
      <c r="D58" s="24"/>
      <c r="E58" s="25" t="n">
        <f aca="false">SUMIFS(Leçons!$E$5:$E$289,Leçons!$F$5:$F$289,A58)</f>
        <v>0</v>
      </c>
      <c r="F58" s="24" t="s">
        <v>164</v>
      </c>
      <c r="G58" s="24"/>
      <c r="H58" s="26"/>
      <c r="I58" s="26"/>
      <c r="J58" s="27"/>
      <c r="K58" s="26"/>
      <c r="L58" s="28"/>
    </row>
    <row r="59" customFormat="false" ht="33.75" hidden="false" customHeight="true" outlineLevel="0" collapsed="false">
      <c r="A59" s="23" t="n">
        <v>46380</v>
      </c>
      <c r="B59" s="24" t="s">
        <v>162</v>
      </c>
      <c r="C59" s="24" t="s">
        <v>163</v>
      </c>
      <c r="D59" s="24"/>
      <c r="E59" s="25" t="n">
        <f aca="false">SUMIFS(Leçons!$E$5:$E$289,Leçons!$F$5:$F$289,A59)</f>
        <v>0</v>
      </c>
      <c r="F59" s="24" t="s">
        <v>164</v>
      </c>
      <c r="G59" s="24"/>
      <c r="H59" s="26"/>
      <c r="I59" s="26"/>
      <c r="J59" s="27"/>
      <c r="K59" s="26"/>
      <c r="L59" s="28"/>
    </row>
    <row r="60" customFormat="false" ht="33.75" hidden="false" customHeight="true" outlineLevel="0" collapsed="false">
      <c r="A60" s="23" t="n">
        <v>46381</v>
      </c>
      <c r="B60" s="24" t="s">
        <v>162</v>
      </c>
      <c r="C60" s="24" t="s">
        <v>163</v>
      </c>
      <c r="D60" s="24"/>
      <c r="E60" s="25" t="n">
        <f aca="false">SUMIFS(Leçons!$E$5:$E$289,Leçons!$F$5:$F$289,A60)</f>
        <v>0</v>
      </c>
      <c r="F60" s="24" t="s">
        <v>164</v>
      </c>
      <c r="G60" s="24"/>
      <c r="H60" s="26"/>
      <c r="I60" s="26"/>
      <c r="J60" s="27"/>
      <c r="K60" s="26"/>
      <c r="L60" s="28"/>
    </row>
    <row r="61" customFormat="false" ht="33.75" hidden="false" customHeight="true" outlineLevel="0" collapsed="false">
      <c r="A61" s="23" t="n">
        <v>46384</v>
      </c>
      <c r="B61" s="24" t="s">
        <v>162</v>
      </c>
      <c r="C61" s="24" t="s">
        <v>163</v>
      </c>
      <c r="D61" s="24"/>
      <c r="E61" s="25" t="n">
        <f aca="false">SUMIFS(Leçons!$E$5:$E$289,Leçons!$F$5:$F$289,A61)</f>
        <v>0</v>
      </c>
      <c r="F61" s="24" t="s">
        <v>164</v>
      </c>
      <c r="G61" s="24"/>
      <c r="H61" s="26"/>
      <c r="I61" s="26"/>
      <c r="J61" s="27"/>
      <c r="K61" s="26"/>
      <c r="L61" s="28"/>
    </row>
    <row r="62" customFormat="false" ht="33.75" hidden="false" customHeight="true" outlineLevel="0" collapsed="false">
      <c r="A62" s="23" t="n">
        <v>46385</v>
      </c>
      <c r="B62" s="24" t="s">
        <v>162</v>
      </c>
      <c r="C62" s="24" t="s">
        <v>163</v>
      </c>
      <c r="D62" s="24"/>
      <c r="E62" s="25" t="n">
        <f aca="false">SUMIFS(Leçons!$E$5:$E$289,Leçons!$F$5:$F$289,A62)</f>
        <v>0</v>
      </c>
      <c r="F62" s="24" t="s">
        <v>164</v>
      </c>
      <c r="G62" s="24"/>
      <c r="H62" s="26"/>
      <c r="I62" s="26"/>
      <c r="J62" s="27"/>
      <c r="K62" s="26"/>
      <c r="L62" s="28"/>
    </row>
    <row r="63" customFormat="false" ht="33.75" hidden="false" customHeight="true" outlineLevel="0" collapsed="false">
      <c r="A63" s="23" t="n">
        <v>46386</v>
      </c>
      <c r="B63" s="24" t="s">
        <v>162</v>
      </c>
      <c r="C63" s="24" t="s">
        <v>163</v>
      </c>
      <c r="D63" s="24"/>
      <c r="E63" s="25" t="n">
        <f aca="false">SUMIFS(Leçons!$E$5:$E$289,Leçons!$F$5:$F$289,A63)</f>
        <v>0</v>
      </c>
      <c r="F63" s="24" t="s">
        <v>164</v>
      </c>
      <c r="G63" s="24"/>
      <c r="H63" s="26"/>
      <c r="I63" s="26"/>
      <c r="J63" s="27"/>
      <c r="K63" s="26"/>
      <c r="L63" s="28"/>
    </row>
    <row r="64" customFormat="false" ht="33.75" hidden="false" customHeight="true" outlineLevel="0" collapsed="false">
      <c r="A64" s="23" t="n">
        <v>46387</v>
      </c>
      <c r="B64" s="24" t="s">
        <v>162</v>
      </c>
      <c r="C64" s="24" t="s">
        <v>163</v>
      </c>
      <c r="D64" s="24"/>
      <c r="E64" s="25" t="n">
        <f aca="false">SUMIFS(Leçons!$E$5:$E$289,Leçons!$F$5:$F$289,A64)</f>
        <v>0</v>
      </c>
      <c r="F64" s="24" t="s">
        <v>164</v>
      </c>
      <c r="G64" s="24"/>
      <c r="H64" s="26"/>
      <c r="I64" s="26"/>
      <c r="J64" s="27"/>
      <c r="K64" s="26"/>
      <c r="L64" s="28"/>
    </row>
    <row r="65" customFormat="false" ht="33.75" hidden="false" customHeight="true" outlineLevel="0" collapsed="false">
      <c r="A65" s="23" t="n">
        <v>46388</v>
      </c>
      <c r="B65" s="24" t="s">
        <v>162</v>
      </c>
      <c r="C65" s="24" t="s">
        <v>163</v>
      </c>
      <c r="D65" s="24"/>
      <c r="E65" s="25" t="n">
        <f aca="false">SUMIFS(Leçons!$E$5:$E$289,Leçons!$F$5:$F$289,A65)</f>
        <v>0</v>
      </c>
      <c r="F65" s="24" t="s">
        <v>164</v>
      </c>
      <c r="G65" s="24"/>
      <c r="H65" s="26"/>
      <c r="I65" s="26"/>
      <c r="J65" s="27"/>
      <c r="K65" s="26"/>
      <c r="L65" s="28"/>
    </row>
    <row r="66" customFormat="false" ht="33.75" hidden="false" customHeight="true" outlineLevel="0" collapsed="false">
      <c r="A66" s="17" t="n">
        <v>46391</v>
      </c>
      <c r="B66" s="18" t="s">
        <v>29</v>
      </c>
      <c r="C66" s="18" t="s">
        <v>120</v>
      </c>
      <c r="D66" s="18"/>
      <c r="E66" s="19" t="n">
        <f aca="false">SUMIFS(Leçons!$E$5:$E$289,Leçons!$F$5:$F$289,A66)</f>
        <v>0</v>
      </c>
      <c r="F66" s="18" t="s">
        <v>165</v>
      </c>
      <c r="G66" s="18" t="s">
        <v>157</v>
      </c>
      <c r="H66" s="20"/>
      <c r="I66" s="20"/>
      <c r="J66" s="21"/>
      <c r="K66" s="10" t="str">
        <f aca="false">IF(AND(I66="Oui",OR(E66=0,H66="Oui")),"Oui","")</f>
        <v/>
      </c>
      <c r="L66" s="22"/>
    </row>
    <row r="67" customFormat="false" ht="33.75" hidden="false" customHeight="true" outlineLevel="0" collapsed="false">
      <c r="A67" s="17" t="n">
        <v>46392</v>
      </c>
      <c r="B67" s="18" t="s">
        <v>29</v>
      </c>
      <c r="C67" s="18" t="s">
        <v>120</v>
      </c>
      <c r="D67" s="18"/>
      <c r="E67" s="19" t="n">
        <f aca="false">SUMIFS(Leçons!$E$5:$E$289,Leçons!$F$5:$F$289,A67)</f>
        <v>0</v>
      </c>
      <c r="F67" s="18" t="s">
        <v>166</v>
      </c>
      <c r="G67" s="18" t="s">
        <v>157</v>
      </c>
      <c r="H67" s="20"/>
      <c r="I67" s="20"/>
      <c r="J67" s="21"/>
      <c r="K67" s="10" t="str">
        <f aca="false">IF(AND(I67="Oui",OR(E67=0,H67="Oui")),"Oui","")</f>
        <v/>
      </c>
      <c r="L67" s="22"/>
    </row>
    <row r="68" customFormat="false" ht="33.75" hidden="false" customHeight="true" outlineLevel="0" collapsed="false">
      <c r="A68" s="17" t="n">
        <v>46393</v>
      </c>
      <c r="B68" s="18" t="s">
        <v>29</v>
      </c>
      <c r="C68" s="18" t="s">
        <v>120</v>
      </c>
      <c r="D68" s="18"/>
      <c r="E68" s="19" t="n">
        <f aca="false">SUMIFS(Leçons!$E$5:$E$289,Leçons!$F$5:$F$289,A68)</f>
        <v>0</v>
      </c>
      <c r="F68" s="18" t="s">
        <v>167</v>
      </c>
      <c r="G68" s="18" t="s">
        <v>157</v>
      </c>
      <c r="H68" s="20"/>
      <c r="I68" s="20"/>
      <c r="J68" s="21"/>
      <c r="K68" s="10" t="str">
        <f aca="false">IF(AND(I68="Oui",OR(E68=0,H68="Oui")),"Oui","")</f>
        <v/>
      </c>
      <c r="L68" s="22"/>
    </row>
    <row r="69" customFormat="false" ht="33.75" hidden="false" customHeight="true" outlineLevel="0" collapsed="false">
      <c r="A69" s="17" t="n">
        <v>46394</v>
      </c>
      <c r="B69" s="18" t="s">
        <v>29</v>
      </c>
      <c r="C69" s="18" t="s">
        <v>120</v>
      </c>
      <c r="D69" s="18"/>
      <c r="E69" s="19" t="n">
        <f aca="false">SUMIFS(Leçons!$E$5:$E$289,Leçons!$F$5:$F$289,A69)</f>
        <v>0</v>
      </c>
      <c r="F69" s="18" t="s">
        <v>168</v>
      </c>
      <c r="G69" s="18" t="s">
        <v>157</v>
      </c>
      <c r="H69" s="20"/>
      <c r="I69" s="20"/>
      <c r="J69" s="21"/>
      <c r="K69" s="10" t="str">
        <f aca="false">IF(AND(I69="Oui",OR(E69=0,H69="Oui")),"Oui","")</f>
        <v/>
      </c>
      <c r="L69" s="22"/>
    </row>
    <row r="70" customFormat="false" ht="33.75" hidden="false" customHeight="true" outlineLevel="0" collapsed="false">
      <c r="A70" s="17" t="n">
        <v>46395</v>
      </c>
      <c r="B70" s="18" t="s">
        <v>29</v>
      </c>
      <c r="C70" s="18" t="s">
        <v>120</v>
      </c>
      <c r="D70" s="18"/>
      <c r="E70" s="19" t="n">
        <f aca="false">SUMIFS(Leçons!$E$5:$E$289,Leçons!$F$5:$F$289,A70)</f>
        <v>0</v>
      </c>
      <c r="F70" s="18" t="s">
        <v>169</v>
      </c>
      <c r="G70" s="18" t="s">
        <v>157</v>
      </c>
      <c r="H70" s="20"/>
      <c r="I70" s="20"/>
      <c r="J70" s="21"/>
      <c r="K70" s="10" t="str">
        <f aca="false">IF(AND(I70="Oui",OR(E70=0,H70="Oui")),"Oui","")</f>
        <v/>
      </c>
      <c r="L70" s="22"/>
    </row>
    <row r="71" customFormat="false" ht="33.75" hidden="false" customHeight="true" outlineLevel="0" collapsed="false">
      <c r="A71" s="17" t="n">
        <v>46398</v>
      </c>
      <c r="B71" s="18" t="s">
        <v>29</v>
      </c>
      <c r="C71" s="18" t="s">
        <v>120</v>
      </c>
      <c r="D71" s="18"/>
      <c r="E71" s="19" t="n">
        <f aca="false">SUMIFS(Leçons!$E$5:$E$289,Leçons!$F$5:$F$289,A71)</f>
        <v>0</v>
      </c>
      <c r="F71" s="18" t="s">
        <v>170</v>
      </c>
      <c r="G71" s="18" t="s">
        <v>157</v>
      </c>
      <c r="H71" s="20"/>
      <c r="I71" s="20"/>
      <c r="J71" s="21"/>
      <c r="K71" s="10" t="str">
        <f aca="false">IF(AND(I71="Oui",OR(E71=0,H71="Oui")),"Oui","")</f>
        <v/>
      </c>
      <c r="L71" s="22"/>
    </row>
    <row r="72" customFormat="false" ht="33.75" hidden="false" customHeight="true" outlineLevel="0" collapsed="false">
      <c r="A72" s="17" t="n">
        <v>46399</v>
      </c>
      <c r="B72" s="18" t="s">
        <v>29</v>
      </c>
      <c r="C72" s="18" t="s">
        <v>120</v>
      </c>
      <c r="D72" s="18"/>
      <c r="E72" s="19" t="n">
        <f aca="false">SUMIFS(Leçons!$E$5:$E$289,Leçons!$F$5:$F$289,A72)</f>
        <v>0</v>
      </c>
      <c r="F72" s="18" t="s">
        <v>171</v>
      </c>
      <c r="G72" s="18" t="s">
        <v>157</v>
      </c>
      <c r="H72" s="20"/>
      <c r="I72" s="20"/>
      <c r="J72" s="21"/>
      <c r="K72" s="10" t="str">
        <f aca="false">IF(AND(I72="Oui",OR(E72=0,H72="Oui")),"Oui","")</f>
        <v/>
      </c>
      <c r="L72" s="22"/>
    </row>
    <row r="73" customFormat="false" ht="33.75" hidden="false" customHeight="true" outlineLevel="0" collapsed="false">
      <c r="A73" s="17" t="n">
        <v>46400</v>
      </c>
      <c r="B73" s="18" t="s">
        <v>29</v>
      </c>
      <c r="C73" s="18" t="s">
        <v>120</v>
      </c>
      <c r="D73" s="18"/>
      <c r="E73" s="19" t="n">
        <f aca="false">SUMIFS(Leçons!$E$5:$E$289,Leçons!$F$5:$F$289,A73)</f>
        <v>0</v>
      </c>
      <c r="F73" s="18" t="s">
        <v>172</v>
      </c>
      <c r="G73" s="18" t="s">
        <v>157</v>
      </c>
      <c r="H73" s="20"/>
      <c r="I73" s="20"/>
      <c r="J73" s="21"/>
      <c r="K73" s="10" t="str">
        <f aca="false">IF(AND(I73="Oui",OR(E73=0,H73="Oui")),"Oui","")</f>
        <v/>
      </c>
      <c r="L73" s="22"/>
    </row>
    <row r="74" customFormat="false" ht="33.75" hidden="false" customHeight="true" outlineLevel="0" collapsed="false">
      <c r="A74" s="17" t="n">
        <v>46401</v>
      </c>
      <c r="B74" s="18" t="s">
        <v>29</v>
      </c>
      <c r="C74" s="18" t="s">
        <v>120</v>
      </c>
      <c r="D74" s="18"/>
      <c r="E74" s="19" t="n">
        <f aca="false">SUMIFS(Leçons!$E$5:$E$289,Leçons!$F$5:$F$289,A74)</f>
        <v>0</v>
      </c>
      <c r="F74" s="18" t="s">
        <v>173</v>
      </c>
      <c r="G74" s="18" t="s">
        <v>157</v>
      </c>
      <c r="H74" s="20"/>
      <c r="I74" s="20"/>
      <c r="J74" s="21"/>
      <c r="K74" s="10" t="str">
        <f aca="false">IF(AND(I74="Oui",OR(E74=0,H74="Oui")),"Oui","")</f>
        <v/>
      </c>
      <c r="L74" s="22"/>
    </row>
    <row r="75" customFormat="false" ht="33.75" hidden="false" customHeight="true" outlineLevel="0" collapsed="false">
      <c r="A75" s="17" t="n">
        <v>46402</v>
      </c>
      <c r="B75" s="18" t="s">
        <v>29</v>
      </c>
      <c r="C75" s="18" t="s">
        <v>123</v>
      </c>
      <c r="D75" s="18"/>
      <c r="E75" s="19" t="n">
        <f aca="false">SUMIFS(Leçons!$E$5:$E$289,Leçons!$F$5:$F$289,A75)</f>
        <v>0</v>
      </c>
      <c r="F75" s="18" t="s">
        <v>124</v>
      </c>
      <c r="G75" s="18"/>
      <c r="H75" s="20"/>
      <c r="I75" s="20"/>
      <c r="J75" s="21"/>
      <c r="K75" s="10" t="str">
        <f aca="false">IF(AND(I75="Oui",OR(E75=0,H75="Oui")),"Oui","")</f>
        <v/>
      </c>
      <c r="L75" s="22"/>
    </row>
    <row r="76" customFormat="false" ht="33.75" hidden="false" customHeight="true" outlineLevel="0" collapsed="false">
      <c r="A76" s="23" t="n">
        <v>46405</v>
      </c>
      <c r="B76" s="24" t="s">
        <v>174</v>
      </c>
      <c r="C76" s="24" t="s">
        <v>175</v>
      </c>
      <c r="D76" s="24"/>
      <c r="E76" s="25" t="n">
        <f aca="false">SUMIFS(Leçons!$E$5:$E$289,Leçons!$F$5:$F$289,A76)</f>
        <v>0</v>
      </c>
      <c r="F76" s="24" t="s">
        <v>176</v>
      </c>
      <c r="G76" s="24"/>
      <c r="H76" s="26"/>
      <c r="I76" s="26"/>
      <c r="J76" s="27"/>
      <c r="K76" s="26"/>
      <c r="L76" s="28"/>
    </row>
    <row r="77" customFormat="false" ht="33.75" hidden="false" customHeight="true" outlineLevel="0" collapsed="false">
      <c r="A77" s="23" t="n">
        <v>46406</v>
      </c>
      <c r="B77" s="24" t="s">
        <v>174</v>
      </c>
      <c r="C77" s="24" t="s">
        <v>175</v>
      </c>
      <c r="D77" s="24"/>
      <c r="E77" s="25" t="n">
        <f aca="false">SUMIFS(Leçons!$E$5:$E$289,Leçons!$F$5:$F$289,A77)</f>
        <v>0</v>
      </c>
      <c r="F77" s="24" t="s">
        <v>176</v>
      </c>
      <c r="G77" s="24"/>
      <c r="H77" s="26"/>
      <c r="I77" s="26"/>
      <c r="J77" s="27"/>
      <c r="K77" s="26"/>
      <c r="L77" s="28"/>
    </row>
    <row r="78" customFormat="false" ht="33.75" hidden="false" customHeight="true" outlineLevel="0" collapsed="false">
      <c r="A78" s="23" t="n">
        <v>46407</v>
      </c>
      <c r="B78" s="24" t="s">
        <v>174</v>
      </c>
      <c r="C78" s="24" t="s">
        <v>175</v>
      </c>
      <c r="D78" s="24"/>
      <c r="E78" s="25" t="n">
        <f aca="false">SUMIFS(Leçons!$E$5:$E$289,Leçons!$F$5:$F$289,A78)</f>
        <v>0</v>
      </c>
      <c r="F78" s="24" t="s">
        <v>176</v>
      </c>
      <c r="G78" s="24"/>
      <c r="H78" s="26"/>
      <c r="I78" s="26"/>
      <c r="J78" s="27"/>
      <c r="K78" s="26"/>
      <c r="L78" s="28"/>
    </row>
    <row r="79" customFormat="false" ht="33.75" hidden="false" customHeight="true" outlineLevel="0" collapsed="false">
      <c r="A79" s="23" t="n">
        <v>46408</v>
      </c>
      <c r="B79" s="24" t="s">
        <v>174</v>
      </c>
      <c r="C79" s="24" t="s">
        <v>175</v>
      </c>
      <c r="D79" s="24"/>
      <c r="E79" s="25" t="n">
        <f aca="false">SUMIFS(Leçons!$E$5:$E$289,Leçons!$F$5:$F$289,A79)</f>
        <v>0</v>
      </c>
      <c r="F79" s="24" t="s">
        <v>176</v>
      </c>
      <c r="G79" s="24"/>
      <c r="H79" s="26"/>
      <c r="I79" s="26"/>
      <c r="J79" s="27"/>
      <c r="K79" s="26"/>
      <c r="L79" s="28"/>
    </row>
    <row r="80" customFormat="false" ht="33.75" hidden="false" customHeight="true" outlineLevel="0" collapsed="false">
      <c r="A80" s="23" t="n">
        <v>46409</v>
      </c>
      <c r="B80" s="24" t="s">
        <v>174</v>
      </c>
      <c r="C80" s="24" t="s">
        <v>175</v>
      </c>
      <c r="D80" s="24"/>
      <c r="E80" s="25" t="n">
        <f aca="false">SUMIFS(Leçons!$E$5:$E$289,Leçons!$F$5:$F$289,A80)</f>
        <v>0</v>
      </c>
      <c r="F80" s="24" t="s">
        <v>176</v>
      </c>
      <c r="G80" s="24"/>
      <c r="H80" s="26"/>
      <c r="I80" s="26"/>
      <c r="J80" s="27"/>
      <c r="K80" s="26"/>
      <c r="L80" s="28"/>
    </row>
    <row r="81" customFormat="false" ht="21" hidden="false" customHeight="true" outlineLevel="0" collapsed="false">
      <c r="A81" s="23" t="n">
        <v>46412</v>
      </c>
      <c r="B81" s="24" t="s">
        <v>177</v>
      </c>
      <c r="C81" s="24" t="s">
        <v>178</v>
      </c>
      <c r="D81" s="24"/>
      <c r="E81" s="25" t="n">
        <f aca="false">SUMIFS(Leçons!$E$5:$E$289,Leçons!$F$5:$F$289,A81)</f>
        <v>0</v>
      </c>
      <c r="F81" s="24" t="s">
        <v>179</v>
      </c>
      <c r="G81" s="24"/>
      <c r="H81" s="26"/>
      <c r="I81" s="26"/>
      <c r="J81" s="27"/>
      <c r="K81" s="26"/>
      <c r="L81" s="28"/>
    </row>
    <row r="82" customFormat="false" ht="21" hidden="false" customHeight="true" outlineLevel="0" collapsed="false">
      <c r="A82" s="23" t="n">
        <v>46413</v>
      </c>
      <c r="B82" s="24" t="s">
        <v>177</v>
      </c>
      <c r="C82" s="24" t="s">
        <v>178</v>
      </c>
      <c r="D82" s="24"/>
      <c r="E82" s="25" t="n">
        <f aca="false">SUMIFS(Leçons!$E$5:$E$289,Leçons!$F$5:$F$289,A82)</f>
        <v>0</v>
      </c>
      <c r="F82" s="24" t="s">
        <v>179</v>
      </c>
      <c r="G82" s="24"/>
      <c r="H82" s="26"/>
      <c r="I82" s="26"/>
      <c r="J82" s="27"/>
      <c r="K82" s="26"/>
      <c r="L82" s="28"/>
    </row>
    <row r="83" customFormat="false" ht="21" hidden="false" customHeight="true" outlineLevel="0" collapsed="false">
      <c r="A83" s="23" t="n">
        <v>46414</v>
      </c>
      <c r="B83" s="24" t="s">
        <v>177</v>
      </c>
      <c r="C83" s="24" t="s">
        <v>178</v>
      </c>
      <c r="D83" s="24"/>
      <c r="E83" s="25" t="n">
        <f aca="false">SUMIFS(Leçons!$E$5:$E$289,Leçons!$F$5:$F$289,A83)</f>
        <v>0</v>
      </c>
      <c r="F83" s="24" t="s">
        <v>179</v>
      </c>
      <c r="G83" s="24"/>
      <c r="H83" s="26"/>
      <c r="I83" s="26"/>
      <c r="J83" s="27"/>
      <c r="K83" s="26"/>
      <c r="L83" s="28"/>
    </row>
    <row r="84" customFormat="false" ht="21" hidden="false" customHeight="true" outlineLevel="0" collapsed="false">
      <c r="A84" s="23" t="n">
        <v>46415</v>
      </c>
      <c r="B84" s="24" t="s">
        <v>177</v>
      </c>
      <c r="C84" s="24" t="s">
        <v>178</v>
      </c>
      <c r="D84" s="24"/>
      <c r="E84" s="25" t="n">
        <f aca="false">SUMIFS(Leçons!$E$5:$E$289,Leçons!$F$5:$F$289,A84)</f>
        <v>0</v>
      </c>
      <c r="F84" s="24" t="s">
        <v>179</v>
      </c>
      <c r="G84" s="24"/>
      <c r="H84" s="26"/>
      <c r="I84" s="26"/>
      <c r="J84" s="27"/>
      <c r="K84" s="26"/>
      <c r="L84" s="28"/>
    </row>
    <row r="85" customFormat="false" ht="21" hidden="false" customHeight="true" outlineLevel="0" collapsed="false">
      <c r="A85" s="23" t="n">
        <v>46416</v>
      </c>
      <c r="B85" s="24" t="s">
        <v>177</v>
      </c>
      <c r="C85" s="24" t="s">
        <v>178</v>
      </c>
      <c r="D85" s="24"/>
      <c r="E85" s="25" t="n">
        <f aca="false">SUMIFS(Leçons!$E$5:$E$289,Leçons!$F$5:$F$289,A85)</f>
        <v>0</v>
      </c>
      <c r="F85" s="24" t="s">
        <v>179</v>
      </c>
      <c r="G85" s="24"/>
      <c r="H85" s="26"/>
      <c r="I85" s="26"/>
      <c r="J85" s="27"/>
      <c r="K85" s="26"/>
      <c r="L85" s="28"/>
    </row>
    <row r="86" customFormat="false" ht="21" hidden="false" customHeight="true" outlineLevel="0" collapsed="false">
      <c r="A86" s="23" t="n">
        <v>46419</v>
      </c>
      <c r="B86" s="24" t="s">
        <v>177</v>
      </c>
      <c r="C86" s="24" t="s">
        <v>178</v>
      </c>
      <c r="D86" s="24"/>
      <c r="E86" s="25" t="n">
        <f aca="false">SUMIFS(Leçons!$E$5:$E$289,Leçons!$F$5:$F$289,A86)</f>
        <v>0</v>
      </c>
      <c r="F86" s="24" t="s">
        <v>179</v>
      </c>
      <c r="G86" s="24"/>
      <c r="H86" s="26"/>
      <c r="I86" s="26"/>
      <c r="J86" s="27"/>
      <c r="K86" s="26"/>
      <c r="L86" s="28"/>
    </row>
    <row r="87" customFormat="false" ht="21" hidden="false" customHeight="true" outlineLevel="0" collapsed="false">
      <c r="A87" s="23" t="n">
        <v>46420</v>
      </c>
      <c r="B87" s="24" t="s">
        <v>177</v>
      </c>
      <c r="C87" s="24" t="s">
        <v>178</v>
      </c>
      <c r="D87" s="24"/>
      <c r="E87" s="25" t="n">
        <f aca="false">SUMIFS(Leçons!$E$5:$E$289,Leçons!$F$5:$F$289,A87)</f>
        <v>0</v>
      </c>
      <c r="F87" s="24" t="s">
        <v>179</v>
      </c>
      <c r="G87" s="24"/>
      <c r="H87" s="26"/>
      <c r="I87" s="26"/>
      <c r="J87" s="27"/>
      <c r="K87" s="26"/>
      <c r="L87" s="28"/>
    </row>
    <row r="88" customFormat="false" ht="21" hidden="false" customHeight="true" outlineLevel="0" collapsed="false">
      <c r="A88" s="23" t="n">
        <v>46421</v>
      </c>
      <c r="B88" s="24" t="s">
        <v>177</v>
      </c>
      <c r="C88" s="24" t="s">
        <v>178</v>
      </c>
      <c r="D88" s="24"/>
      <c r="E88" s="25" t="n">
        <f aca="false">SUMIFS(Leçons!$E$5:$E$289,Leçons!$F$5:$F$289,A88)</f>
        <v>0</v>
      </c>
      <c r="F88" s="24" t="s">
        <v>179</v>
      </c>
      <c r="G88" s="24"/>
      <c r="H88" s="26"/>
      <c r="I88" s="26"/>
      <c r="J88" s="27"/>
      <c r="K88" s="26"/>
      <c r="L88" s="28"/>
    </row>
    <row r="89" customFormat="false" ht="21" hidden="false" customHeight="true" outlineLevel="0" collapsed="false">
      <c r="A89" s="23" t="n">
        <v>46422</v>
      </c>
      <c r="B89" s="24" t="s">
        <v>177</v>
      </c>
      <c r="C89" s="24" t="s">
        <v>178</v>
      </c>
      <c r="D89" s="24"/>
      <c r="E89" s="25" t="n">
        <f aca="false">SUMIFS(Leçons!$E$5:$E$289,Leçons!$F$5:$F$289,A89)</f>
        <v>0</v>
      </c>
      <c r="F89" s="24" t="s">
        <v>179</v>
      </c>
      <c r="G89" s="24"/>
      <c r="H89" s="26"/>
      <c r="I89" s="26"/>
      <c r="J89" s="27"/>
      <c r="K89" s="26"/>
      <c r="L89" s="28"/>
    </row>
    <row r="90" customFormat="false" ht="21" hidden="false" customHeight="true" outlineLevel="0" collapsed="false">
      <c r="A90" s="23" t="n">
        <v>46423</v>
      </c>
      <c r="B90" s="24" t="s">
        <v>177</v>
      </c>
      <c r="C90" s="24" t="s">
        <v>178</v>
      </c>
      <c r="D90" s="24"/>
      <c r="E90" s="25" t="n">
        <f aca="false">SUMIFS(Leçons!$E$5:$E$289,Leçons!$F$5:$F$289,A90)</f>
        <v>0</v>
      </c>
      <c r="F90" s="24" t="s">
        <v>179</v>
      </c>
      <c r="G90" s="24"/>
      <c r="H90" s="26"/>
      <c r="I90" s="26"/>
      <c r="J90" s="27"/>
      <c r="K90" s="26"/>
      <c r="L90" s="28"/>
    </row>
    <row r="91" customFormat="false" ht="72.75" hidden="false" customHeight="true" outlineLevel="0" collapsed="false">
      <c r="A91" s="17" t="n">
        <v>46426</v>
      </c>
      <c r="B91" s="18" t="s">
        <v>33</v>
      </c>
      <c r="C91" s="18" t="s">
        <v>75</v>
      </c>
      <c r="D91" s="18" t="s">
        <v>180</v>
      </c>
      <c r="E91" s="19" t="n">
        <f aca="false">SUMIFS(Leçons!$E$5:$E$289,Leçons!$F$5:$F$289,A91)</f>
        <v>34.37</v>
      </c>
      <c r="F91" s="18" t="s">
        <v>181</v>
      </c>
      <c r="G91" s="18" t="s">
        <v>182</v>
      </c>
      <c r="H91" s="20"/>
      <c r="I91" s="20"/>
      <c r="J91" s="21"/>
      <c r="K91" s="10" t="str">
        <f aca="false">IF(AND(I91="Oui",OR(E91=0,H91="Oui")),"Oui","")</f>
        <v/>
      </c>
      <c r="L91" s="22"/>
    </row>
    <row r="92" customFormat="false" ht="124.5" hidden="false" customHeight="true" outlineLevel="0" collapsed="false">
      <c r="A92" s="17" t="n">
        <v>46427</v>
      </c>
      <c r="B92" s="18" t="s">
        <v>33</v>
      </c>
      <c r="C92" s="18" t="s">
        <v>75</v>
      </c>
      <c r="D92" s="18" t="s">
        <v>183</v>
      </c>
      <c r="E92" s="19" t="n">
        <f aca="false">SUMIFS(Leçons!$E$5:$E$289,Leçons!$F$5:$F$289,A92)</f>
        <v>31.83</v>
      </c>
      <c r="F92" s="18" t="s">
        <v>181</v>
      </c>
      <c r="G92" s="18" t="s">
        <v>182</v>
      </c>
      <c r="H92" s="20"/>
      <c r="I92" s="20"/>
      <c r="J92" s="21"/>
      <c r="K92" s="10" t="str">
        <f aca="false">IF(AND(I92="Oui",OR(E92=0,H92="Oui")),"Oui","")</f>
        <v/>
      </c>
      <c r="L92" s="22"/>
    </row>
    <row r="93" customFormat="false" ht="72.75" hidden="false" customHeight="true" outlineLevel="0" collapsed="false">
      <c r="A93" s="17" t="n">
        <v>46428</v>
      </c>
      <c r="B93" s="18" t="s">
        <v>33</v>
      </c>
      <c r="C93" s="18" t="s">
        <v>75</v>
      </c>
      <c r="D93" s="18" t="s">
        <v>184</v>
      </c>
      <c r="E93" s="19" t="n">
        <f aca="false">SUMIFS(Leçons!$E$5:$E$289,Leçons!$F$5:$F$289,A93)</f>
        <v>30.56</v>
      </c>
      <c r="F93" s="18" t="s">
        <v>185</v>
      </c>
      <c r="G93" s="18" t="s">
        <v>182</v>
      </c>
      <c r="H93" s="20"/>
      <c r="I93" s="20"/>
      <c r="J93" s="21"/>
      <c r="K93" s="10" t="str">
        <f aca="false">IF(AND(I93="Oui",OR(E93=0,H93="Oui")),"Oui","")</f>
        <v/>
      </c>
      <c r="L93" s="22"/>
    </row>
    <row r="94" customFormat="false" ht="111.75" hidden="false" customHeight="true" outlineLevel="0" collapsed="false">
      <c r="A94" s="17" t="n">
        <v>46429</v>
      </c>
      <c r="B94" s="18" t="s">
        <v>33</v>
      </c>
      <c r="C94" s="18" t="s">
        <v>75</v>
      </c>
      <c r="D94" s="18" t="s">
        <v>186</v>
      </c>
      <c r="E94" s="19" t="n">
        <f aca="false">SUMIFS(Leçons!$E$5:$E$289,Leçons!$F$5:$F$289,A94)</f>
        <v>31.49</v>
      </c>
      <c r="F94" s="18" t="s">
        <v>187</v>
      </c>
      <c r="G94" s="18" t="s">
        <v>182</v>
      </c>
      <c r="H94" s="20"/>
      <c r="I94" s="20"/>
      <c r="J94" s="21"/>
      <c r="K94" s="10" t="str">
        <f aca="false">IF(AND(I94="Oui",OR(E94=0,H94="Oui")),"Oui","")</f>
        <v/>
      </c>
      <c r="L94" s="22"/>
    </row>
    <row r="95" customFormat="false" ht="124.5" hidden="false" customHeight="true" outlineLevel="0" collapsed="false">
      <c r="A95" s="17" t="n">
        <v>46430</v>
      </c>
      <c r="B95" s="18" t="s">
        <v>33</v>
      </c>
      <c r="C95" s="18" t="s">
        <v>75</v>
      </c>
      <c r="D95" s="18" t="s">
        <v>188</v>
      </c>
      <c r="E95" s="19" t="n">
        <f aca="false">SUMIFS(Leçons!$E$5:$E$289,Leçons!$F$5:$F$289,A95)</f>
        <v>31.16</v>
      </c>
      <c r="F95" s="18" t="s">
        <v>187</v>
      </c>
      <c r="G95" s="18" t="s">
        <v>182</v>
      </c>
      <c r="H95" s="20"/>
      <c r="I95" s="20"/>
      <c r="J95" s="21"/>
      <c r="K95" s="10" t="str">
        <f aca="false">IF(AND(I95="Oui",OR(E95=0,H95="Oui")),"Oui","")</f>
        <v/>
      </c>
      <c r="L95" s="22"/>
    </row>
    <row r="96" customFormat="false" ht="60" hidden="false" customHeight="true" outlineLevel="0" collapsed="false">
      <c r="A96" s="17" t="n">
        <v>46433</v>
      </c>
      <c r="B96" s="18" t="s">
        <v>33</v>
      </c>
      <c r="C96" s="18" t="s">
        <v>75</v>
      </c>
      <c r="D96" s="18" t="s">
        <v>189</v>
      </c>
      <c r="E96" s="19" t="n">
        <f aca="false">SUMIFS(Leçons!$E$5:$E$289,Leçons!$F$5:$F$289,A96)</f>
        <v>29.37</v>
      </c>
      <c r="F96" s="18" t="s">
        <v>187</v>
      </c>
      <c r="G96" s="18" t="s">
        <v>182</v>
      </c>
      <c r="H96" s="20"/>
      <c r="I96" s="20"/>
      <c r="J96" s="21"/>
      <c r="K96" s="10" t="str">
        <f aca="false">IF(AND(I96="Oui",OR(E96=0,H96="Oui")),"Oui","")</f>
        <v/>
      </c>
      <c r="L96" s="22"/>
    </row>
    <row r="97" customFormat="false" ht="124.5" hidden="false" customHeight="true" outlineLevel="0" collapsed="false">
      <c r="A97" s="17" t="n">
        <v>46434</v>
      </c>
      <c r="B97" s="18" t="s">
        <v>33</v>
      </c>
      <c r="C97" s="18" t="s">
        <v>75</v>
      </c>
      <c r="D97" s="18" t="s">
        <v>190</v>
      </c>
      <c r="E97" s="19" t="n">
        <f aca="false">SUMIFS(Leçons!$E$5:$E$289,Leçons!$F$5:$F$289,A97)</f>
        <v>31.63</v>
      </c>
      <c r="F97" s="18" t="s">
        <v>191</v>
      </c>
      <c r="G97" s="18" t="s">
        <v>182</v>
      </c>
      <c r="H97" s="20"/>
      <c r="I97" s="20"/>
      <c r="J97" s="21"/>
      <c r="K97" s="10" t="str">
        <f aca="false">IF(AND(I97="Oui",OR(E97=0,H97="Oui")),"Oui","")</f>
        <v/>
      </c>
      <c r="L97" s="22"/>
    </row>
    <row r="98" customFormat="false" ht="60" hidden="false" customHeight="true" outlineLevel="0" collapsed="false">
      <c r="A98" s="17" t="n">
        <v>46435</v>
      </c>
      <c r="B98" s="18" t="s">
        <v>33</v>
      </c>
      <c r="C98" s="18" t="s">
        <v>75</v>
      </c>
      <c r="D98" s="18" t="s">
        <v>192</v>
      </c>
      <c r="E98" s="19" t="n">
        <f aca="false">SUMIFS(Leçons!$E$5:$E$289,Leçons!$F$5:$F$289,A98)</f>
        <v>30.47</v>
      </c>
      <c r="F98" s="18" t="s">
        <v>191</v>
      </c>
      <c r="G98" s="18" t="s">
        <v>182</v>
      </c>
      <c r="H98" s="20"/>
      <c r="I98" s="20"/>
      <c r="J98" s="21"/>
      <c r="K98" s="10" t="str">
        <f aca="false">IF(AND(I98="Oui",OR(E98=0,H98="Oui")),"Oui","")</f>
        <v/>
      </c>
      <c r="L98" s="22"/>
    </row>
    <row r="99" customFormat="false" ht="33.75" hidden="false" customHeight="true" outlineLevel="0" collapsed="false">
      <c r="A99" s="17" t="n">
        <v>46436</v>
      </c>
      <c r="B99" s="18" t="s">
        <v>33</v>
      </c>
      <c r="C99" s="18" t="s">
        <v>120</v>
      </c>
      <c r="D99" s="18"/>
      <c r="E99" s="19" t="n">
        <f aca="false">SUMIFS(Leçons!$E$5:$E$289,Leçons!$F$5:$F$289,A99)</f>
        <v>0</v>
      </c>
      <c r="F99" s="18" t="s">
        <v>193</v>
      </c>
      <c r="G99" s="18" t="s">
        <v>194</v>
      </c>
      <c r="H99" s="20"/>
      <c r="I99" s="20"/>
      <c r="J99" s="21"/>
      <c r="K99" s="10" t="str">
        <f aca="false">IF(AND(I99="Oui",OR(E99=0,H99="Oui")),"Oui","")</f>
        <v/>
      </c>
      <c r="L99" s="22"/>
    </row>
    <row r="100" customFormat="false" ht="33.75" hidden="false" customHeight="true" outlineLevel="0" collapsed="false">
      <c r="A100" s="17" t="n">
        <v>46437</v>
      </c>
      <c r="B100" s="18" t="s">
        <v>33</v>
      </c>
      <c r="C100" s="18" t="s">
        <v>120</v>
      </c>
      <c r="D100" s="18"/>
      <c r="E100" s="19" t="n">
        <f aca="false">SUMIFS(Leçons!$E$5:$E$289,Leçons!$F$5:$F$289,A100)</f>
        <v>0</v>
      </c>
      <c r="F100" s="18" t="s">
        <v>195</v>
      </c>
      <c r="G100" s="18" t="s">
        <v>194</v>
      </c>
      <c r="H100" s="20"/>
      <c r="I100" s="20"/>
      <c r="J100" s="21"/>
      <c r="K100" s="10" t="str">
        <f aca="false">IF(AND(I100="Oui",OR(E100=0,H100="Oui")),"Oui","")</f>
        <v/>
      </c>
      <c r="L100" s="22"/>
    </row>
    <row r="101" customFormat="false" ht="33.75" hidden="false" customHeight="true" outlineLevel="0" collapsed="false">
      <c r="A101" s="17" t="n">
        <v>46440</v>
      </c>
      <c r="B101" s="18" t="s">
        <v>33</v>
      </c>
      <c r="C101" s="18" t="s">
        <v>120</v>
      </c>
      <c r="D101" s="18"/>
      <c r="E101" s="19" t="n">
        <f aca="false">SUMIFS(Leçons!$E$5:$E$289,Leçons!$F$5:$F$289,A101)</f>
        <v>0</v>
      </c>
      <c r="F101" s="18" t="s">
        <v>196</v>
      </c>
      <c r="G101" s="18" t="s">
        <v>194</v>
      </c>
      <c r="H101" s="20"/>
      <c r="I101" s="20"/>
      <c r="J101" s="21"/>
      <c r="K101" s="10" t="str">
        <f aca="false">IF(AND(I101="Oui",OR(E101=0,H101="Oui")),"Oui","")</f>
        <v/>
      </c>
      <c r="L101" s="22"/>
    </row>
    <row r="102" customFormat="false" ht="33.75" hidden="false" customHeight="true" outlineLevel="0" collapsed="false">
      <c r="A102" s="17" t="n">
        <v>46441</v>
      </c>
      <c r="B102" s="18" t="s">
        <v>33</v>
      </c>
      <c r="C102" s="18" t="s">
        <v>120</v>
      </c>
      <c r="D102" s="18"/>
      <c r="E102" s="19" t="n">
        <f aca="false">SUMIFS(Leçons!$E$5:$E$289,Leçons!$F$5:$F$289,A102)</f>
        <v>0</v>
      </c>
      <c r="F102" s="18" t="s">
        <v>197</v>
      </c>
      <c r="G102" s="18" t="s">
        <v>194</v>
      </c>
      <c r="H102" s="20"/>
      <c r="I102" s="20"/>
      <c r="J102" s="21"/>
      <c r="K102" s="10" t="str">
        <f aca="false">IF(AND(I102="Oui",OR(E102=0,H102="Oui")),"Oui","")</f>
        <v/>
      </c>
      <c r="L102" s="22"/>
    </row>
    <row r="103" customFormat="false" ht="33.75" hidden="false" customHeight="true" outlineLevel="0" collapsed="false">
      <c r="A103" s="17" t="n">
        <v>46442</v>
      </c>
      <c r="B103" s="18" t="s">
        <v>33</v>
      </c>
      <c r="C103" s="18" t="s">
        <v>120</v>
      </c>
      <c r="D103" s="18"/>
      <c r="E103" s="19" t="n">
        <f aca="false">SUMIFS(Leçons!$E$5:$E$289,Leçons!$F$5:$F$289,A103)</f>
        <v>0</v>
      </c>
      <c r="F103" s="18" t="s">
        <v>198</v>
      </c>
      <c r="G103" s="18" t="s">
        <v>194</v>
      </c>
      <c r="H103" s="20"/>
      <c r="I103" s="20"/>
      <c r="J103" s="21"/>
      <c r="K103" s="10" t="str">
        <f aca="false">IF(AND(I103="Oui",OR(E103=0,H103="Oui")),"Oui","")</f>
        <v/>
      </c>
      <c r="L103" s="22"/>
    </row>
    <row r="104" customFormat="false" ht="33.75" hidden="false" customHeight="true" outlineLevel="0" collapsed="false">
      <c r="A104" s="17" t="n">
        <v>46443</v>
      </c>
      <c r="B104" s="18" t="s">
        <v>33</v>
      </c>
      <c r="C104" s="18" t="s">
        <v>120</v>
      </c>
      <c r="D104" s="18"/>
      <c r="E104" s="19" t="n">
        <f aca="false">SUMIFS(Leçons!$E$5:$E$289,Leçons!$F$5:$F$289,A104)</f>
        <v>0</v>
      </c>
      <c r="F104" s="18" t="s">
        <v>199</v>
      </c>
      <c r="G104" s="18" t="s">
        <v>194</v>
      </c>
      <c r="H104" s="20"/>
      <c r="I104" s="20"/>
      <c r="J104" s="21"/>
      <c r="K104" s="10" t="str">
        <f aca="false">IF(AND(I104="Oui",OR(E104=0,H104="Oui")),"Oui","")</f>
        <v/>
      </c>
      <c r="L104" s="22"/>
    </row>
  </sheetData>
  <conditionalFormatting sqref="H6:I104">
    <cfRule type="cellIs" priority="2" operator="equal" aboveAverage="0" equalAverage="0" bottom="0" percent="0" rank="0" text="" dxfId="0">
      <formula>"Oui"</formula>
    </cfRule>
  </conditionalFormatting>
  <conditionalFormatting sqref="A6:C104">
    <cfRule type="expression" priority="3" aboveAverage="0" equalAverage="0" bottom="0" percent="0" rank="0" text="" dxfId="2">
      <formula>$K6="Oui"</formula>
    </cfRule>
  </conditionalFormatting>
  <dataValidations count="2">
    <dataValidation allowBlank="true" error="Choisis Oui ou Non." errorStyle="stop" errorTitle="Valeur invalide" operator="between" showDropDown="false" showErrorMessage="false" showInputMessage="false" sqref="H6:I104" type="list">
      <formula1>"Oui,Non"</formula1>
      <formula2>0</formula2>
    </dataValidation>
    <dataValidation allowBlank="true" error="Saisis un nombre de minutes entre 0 et 600." errorStyle="stop" errorTitle="Valeur invalide" operator="between" showDropDown="false" showErrorMessage="false" showInputMessage="false" sqref="J6:J104" type="whole">
      <formula1>0</formula1>
      <formula2>600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44"/>
    <col collapsed="false" customWidth="true" hidden="false" outlineLevel="0" max="4" min="4" style="0" width="66"/>
    <col collapsed="false" customWidth="true" hidden="false" outlineLevel="0" max="5" min="5" style="0" width="12"/>
    <col collapsed="false" customWidth="true" hidden="false" outlineLevel="0" max="6" min="6" style="0" width="14"/>
  </cols>
  <sheetData>
    <row r="1" customFormat="false" ht="19.7" hidden="false" customHeight="false" outlineLevel="0" collapsed="false">
      <c r="A1" s="1" t="s">
        <v>200</v>
      </c>
    </row>
    <row r="2" customFormat="false" ht="15" hidden="false" customHeight="false" outlineLevel="0" collapsed="false">
      <c r="A2" s="2" t="s">
        <v>201</v>
      </c>
    </row>
    <row r="4" customFormat="false" ht="15" hidden="false" customHeight="false" outlineLevel="0" collapsed="false">
      <c r="A4" s="6" t="s">
        <v>202</v>
      </c>
      <c r="B4" s="6" t="s">
        <v>8</v>
      </c>
      <c r="C4" s="6" t="s">
        <v>203</v>
      </c>
      <c r="D4" s="6" t="s">
        <v>204</v>
      </c>
      <c r="E4" s="6" t="s">
        <v>205</v>
      </c>
      <c r="F4" s="6" t="s">
        <v>206</v>
      </c>
    </row>
    <row r="5" customFormat="false" ht="15" hidden="false" customHeight="false" outlineLevel="0" collapsed="false">
      <c r="A5" s="29" t="n">
        <v>1</v>
      </c>
      <c r="B5" s="30" t="s">
        <v>21</v>
      </c>
      <c r="C5" s="30" t="s">
        <v>207</v>
      </c>
      <c r="D5" s="30" t="s">
        <v>208</v>
      </c>
      <c r="E5" s="31" t="n">
        <v>0.28</v>
      </c>
      <c r="F5" s="32" t="n">
        <v>46307</v>
      </c>
    </row>
    <row r="6" customFormat="false" ht="15" hidden="false" customHeight="false" outlineLevel="0" collapsed="false">
      <c r="A6" s="29" t="n">
        <v>2</v>
      </c>
      <c r="B6" s="30" t="s">
        <v>21</v>
      </c>
      <c r="C6" s="30" t="s">
        <v>207</v>
      </c>
      <c r="D6" s="30" t="s">
        <v>209</v>
      </c>
      <c r="E6" s="31" t="n">
        <v>0.72</v>
      </c>
      <c r="F6" s="32" t="n">
        <v>46307</v>
      </c>
    </row>
    <row r="7" customFormat="false" ht="15" hidden="false" customHeight="false" outlineLevel="0" collapsed="false">
      <c r="A7" s="29" t="n">
        <v>3</v>
      </c>
      <c r="B7" s="30" t="s">
        <v>21</v>
      </c>
      <c r="C7" s="30" t="s">
        <v>207</v>
      </c>
      <c r="D7" s="30" t="s">
        <v>210</v>
      </c>
      <c r="E7" s="31" t="n">
        <v>5.95</v>
      </c>
      <c r="F7" s="32" t="n">
        <v>46307</v>
      </c>
    </row>
    <row r="8" customFormat="false" ht="15" hidden="false" customHeight="false" outlineLevel="0" collapsed="false">
      <c r="A8" s="29" t="n">
        <v>4</v>
      </c>
      <c r="B8" s="30" t="s">
        <v>21</v>
      </c>
      <c r="C8" s="30" t="s">
        <v>207</v>
      </c>
      <c r="D8" s="30" t="s">
        <v>211</v>
      </c>
      <c r="E8" s="31" t="n">
        <v>0.03</v>
      </c>
      <c r="F8" s="32" t="n">
        <v>46307</v>
      </c>
    </row>
    <row r="9" customFormat="false" ht="15" hidden="false" customHeight="false" outlineLevel="0" collapsed="false">
      <c r="A9" s="29" t="n">
        <v>5</v>
      </c>
      <c r="B9" s="30" t="s">
        <v>21</v>
      </c>
      <c r="C9" s="30" t="s">
        <v>207</v>
      </c>
      <c r="D9" s="30" t="s">
        <v>212</v>
      </c>
      <c r="E9" s="31" t="n">
        <v>0.53</v>
      </c>
      <c r="F9" s="32" t="n">
        <v>46307</v>
      </c>
    </row>
    <row r="10" customFormat="false" ht="15" hidden="false" customHeight="false" outlineLevel="0" collapsed="false">
      <c r="A10" s="29" t="n">
        <v>6</v>
      </c>
      <c r="B10" s="30" t="s">
        <v>21</v>
      </c>
      <c r="C10" s="30" t="s">
        <v>207</v>
      </c>
      <c r="D10" s="30" t="s">
        <v>213</v>
      </c>
      <c r="E10" s="31" t="n">
        <v>3.45</v>
      </c>
      <c r="F10" s="32" t="n">
        <v>46307</v>
      </c>
    </row>
    <row r="11" customFormat="false" ht="15" hidden="false" customHeight="false" outlineLevel="0" collapsed="false">
      <c r="A11" s="29" t="n">
        <v>7</v>
      </c>
      <c r="B11" s="30" t="s">
        <v>21</v>
      </c>
      <c r="C11" s="30" t="s">
        <v>207</v>
      </c>
      <c r="D11" s="30" t="s">
        <v>214</v>
      </c>
      <c r="E11" s="31" t="n">
        <v>0.08</v>
      </c>
      <c r="F11" s="32" t="n">
        <v>46307</v>
      </c>
    </row>
    <row r="12" customFormat="false" ht="15" hidden="false" customHeight="false" outlineLevel="0" collapsed="false">
      <c r="A12" s="29" t="n">
        <v>8</v>
      </c>
      <c r="B12" s="30" t="s">
        <v>21</v>
      </c>
      <c r="C12" s="30" t="s">
        <v>207</v>
      </c>
      <c r="D12" s="30" t="s">
        <v>215</v>
      </c>
      <c r="E12" s="31" t="n">
        <v>3.55</v>
      </c>
      <c r="F12" s="32" t="n">
        <v>46307</v>
      </c>
    </row>
    <row r="13" customFormat="false" ht="15" hidden="false" customHeight="false" outlineLevel="0" collapsed="false">
      <c r="A13" s="29" t="n">
        <v>9</v>
      </c>
      <c r="B13" s="30" t="s">
        <v>21</v>
      </c>
      <c r="C13" s="30" t="s">
        <v>207</v>
      </c>
      <c r="D13" s="30" t="s">
        <v>216</v>
      </c>
      <c r="E13" s="31" t="n">
        <v>0.72</v>
      </c>
      <c r="F13" s="32" t="n">
        <v>46307</v>
      </c>
    </row>
    <row r="14" customFormat="false" ht="15" hidden="false" customHeight="false" outlineLevel="0" collapsed="false">
      <c r="A14" s="29" t="n">
        <v>10</v>
      </c>
      <c r="B14" s="30" t="s">
        <v>21</v>
      </c>
      <c r="C14" s="30" t="s">
        <v>207</v>
      </c>
      <c r="D14" s="30" t="s">
        <v>217</v>
      </c>
      <c r="E14" s="31" t="n">
        <v>2.02</v>
      </c>
      <c r="F14" s="32" t="n">
        <v>46307</v>
      </c>
    </row>
    <row r="15" customFormat="false" ht="15" hidden="false" customHeight="false" outlineLevel="0" collapsed="false">
      <c r="A15" s="29" t="n">
        <v>11</v>
      </c>
      <c r="B15" s="30" t="s">
        <v>21</v>
      </c>
      <c r="C15" s="30" t="s">
        <v>207</v>
      </c>
      <c r="D15" s="30" t="s">
        <v>218</v>
      </c>
      <c r="E15" s="31" t="n">
        <v>2.8</v>
      </c>
      <c r="F15" s="32" t="n">
        <v>46307</v>
      </c>
    </row>
    <row r="16" customFormat="false" ht="15" hidden="false" customHeight="false" outlineLevel="0" collapsed="false">
      <c r="A16" s="29" t="n">
        <v>12</v>
      </c>
      <c r="B16" s="30" t="s">
        <v>21</v>
      </c>
      <c r="C16" s="30" t="s">
        <v>207</v>
      </c>
      <c r="D16" s="30" t="s">
        <v>219</v>
      </c>
      <c r="E16" s="31" t="n">
        <v>2.73</v>
      </c>
      <c r="F16" s="32" t="n">
        <v>46307</v>
      </c>
    </row>
    <row r="17" customFormat="false" ht="15" hidden="false" customHeight="false" outlineLevel="0" collapsed="false">
      <c r="A17" s="29" t="n">
        <v>13</v>
      </c>
      <c r="B17" s="30" t="s">
        <v>21</v>
      </c>
      <c r="C17" s="30" t="s">
        <v>220</v>
      </c>
      <c r="D17" s="30" t="s">
        <v>221</v>
      </c>
      <c r="E17" s="31" t="n">
        <v>9.88</v>
      </c>
      <c r="F17" s="32" t="n">
        <v>46307</v>
      </c>
    </row>
    <row r="18" customFormat="false" ht="15" hidden="false" customHeight="false" outlineLevel="0" collapsed="false">
      <c r="A18" s="29" t="n">
        <v>14</v>
      </c>
      <c r="B18" s="30" t="s">
        <v>21</v>
      </c>
      <c r="C18" s="30" t="s">
        <v>220</v>
      </c>
      <c r="D18" s="30" t="s">
        <v>222</v>
      </c>
      <c r="E18" s="31" t="n">
        <v>9.12</v>
      </c>
      <c r="F18" s="32" t="n">
        <v>46308</v>
      </c>
    </row>
    <row r="19" customFormat="false" ht="15" hidden="false" customHeight="false" outlineLevel="0" collapsed="false">
      <c r="A19" s="29" t="n">
        <v>15</v>
      </c>
      <c r="B19" s="30" t="s">
        <v>21</v>
      </c>
      <c r="C19" s="30" t="s">
        <v>220</v>
      </c>
      <c r="D19" s="30" t="s">
        <v>223</v>
      </c>
      <c r="E19" s="31" t="n">
        <v>5.53</v>
      </c>
      <c r="F19" s="32" t="n">
        <v>46308</v>
      </c>
    </row>
    <row r="20" customFormat="false" ht="15" hidden="false" customHeight="false" outlineLevel="0" collapsed="false">
      <c r="A20" s="29" t="n">
        <v>16</v>
      </c>
      <c r="B20" s="30" t="s">
        <v>21</v>
      </c>
      <c r="C20" s="30" t="s">
        <v>220</v>
      </c>
      <c r="D20" s="30" t="s">
        <v>224</v>
      </c>
      <c r="E20" s="31" t="n">
        <v>5.98</v>
      </c>
      <c r="F20" s="32" t="n">
        <v>46308</v>
      </c>
    </row>
    <row r="21" customFormat="false" ht="15" hidden="false" customHeight="false" outlineLevel="0" collapsed="false">
      <c r="A21" s="29" t="n">
        <v>17</v>
      </c>
      <c r="B21" s="30" t="s">
        <v>21</v>
      </c>
      <c r="C21" s="30" t="s">
        <v>225</v>
      </c>
      <c r="D21" s="30" t="s">
        <v>226</v>
      </c>
      <c r="E21" s="31" t="n">
        <v>4.92</v>
      </c>
      <c r="F21" s="32" t="n">
        <v>46308</v>
      </c>
    </row>
    <row r="22" customFormat="false" ht="15" hidden="false" customHeight="false" outlineLevel="0" collapsed="false">
      <c r="A22" s="29" t="n">
        <v>18</v>
      </c>
      <c r="B22" s="30" t="s">
        <v>21</v>
      </c>
      <c r="C22" s="30" t="s">
        <v>225</v>
      </c>
      <c r="D22" s="30" t="s">
        <v>227</v>
      </c>
      <c r="E22" s="31" t="n">
        <v>10.3</v>
      </c>
      <c r="F22" s="32" t="n">
        <v>46308</v>
      </c>
    </row>
    <row r="23" customFormat="false" ht="15" hidden="false" customHeight="false" outlineLevel="0" collapsed="false">
      <c r="A23" s="29" t="n">
        <v>19</v>
      </c>
      <c r="B23" s="30" t="s">
        <v>21</v>
      </c>
      <c r="C23" s="30" t="s">
        <v>225</v>
      </c>
      <c r="D23" s="30" t="s">
        <v>228</v>
      </c>
      <c r="E23" s="31" t="n">
        <v>3.8</v>
      </c>
      <c r="F23" s="32" t="n">
        <v>46309</v>
      </c>
    </row>
    <row r="24" customFormat="false" ht="15" hidden="false" customHeight="false" outlineLevel="0" collapsed="false">
      <c r="A24" s="29" t="n">
        <v>20</v>
      </c>
      <c r="B24" s="30" t="s">
        <v>21</v>
      </c>
      <c r="C24" s="30" t="s">
        <v>225</v>
      </c>
      <c r="D24" s="30" t="s">
        <v>229</v>
      </c>
      <c r="E24" s="31" t="n">
        <v>6.27</v>
      </c>
      <c r="F24" s="32" t="n">
        <v>46309</v>
      </c>
    </row>
    <row r="25" customFormat="false" ht="15" hidden="false" customHeight="false" outlineLevel="0" collapsed="false">
      <c r="A25" s="29" t="n">
        <v>21</v>
      </c>
      <c r="B25" s="30" t="s">
        <v>21</v>
      </c>
      <c r="C25" s="30" t="s">
        <v>225</v>
      </c>
      <c r="D25" s="30" t="s">
        <v>230</v>
      </c>
      <c r="E25" s="31" t="n">
        <v>4.53</v>
      </c>
      <c r="F25" s="32" t="n">
        <v>46309</v>
      </c>
    </row>
    <row r="26" customFormat="false" ht="15" hidden="false" customHeight="false" outlineLevel="0" collapsed="false">
      <c r="A26" s="29" t="n">
        <v>22</v>
      </c>
      <c r="B26" s="30" t="s">
        <v>21</v>
      </c>
      <c r="C26" s="30" t="s">
        <v>225</v>
      </c>
      <c r="D26" s="30" t="s">
        <v>231</v>
      </c>
      <c r="E26" s="31" t="n">
        <v>7.93</v>
      </c>
      <c r="F26" s="32" t="n">
        <v>46309</v>
      </c>
    </row>
    <row r="27" customFormat="false" ht="15" hidden="false" customHeight="false" outlineLevel="0" collapsed="false">
      <c r="A27" s="29" t="n">
        <v>23</v>
      </c>
      <c r="B27" s="30" t="s">
        <v>21</v>
      </c>
      <c r="C27" s="30" t="s">
        <v>225</v>
      </c>
      <c r="D27" s="30" t="s">
        <v>232</v>
      </c>
      <c r="E27" s="31" t="n">
        <v>7.42</v>
      </c>
      <c r="F27" s="32" t="n">
        <v>46309</v>
      </c>
    </row>
    <row r="28" customFormat="false" ht="15" hidden="false" customHeight="false" outlineLevel="0" collapsed="false">
      <c r="A28" s="29" t="n">
        <v>24</v>
      </c>
      <c r="B28" s="30" t="s">
        <v>21</v>
      </c>
      <c r="C28" s="30" t="s">
        <v>225</v>
      </c>
      <c r="D28" s="30" t="s">
        <v>233</v>
      </c>
      <c r="E28" s="31" t="n">
        <v>4.53</v>
      </c>
      <c r="F28" s="32" t="n">
        <v>46309</v>
      </c>
    </row>
    <row r="29" customFormat="false" ht="15" hidden="false" customHeight="false" outlineLevel="0" collapsed="false">
      <c r="A29" s="29" t="n">
        <v>25</v>
      </c>
      <c r="B29" s="30" t="s">
        <v>21</v>
      </c>
      <c r="C29" s="30" t="s">
        <v>225</v>
      </c>
      <c r="D29" s="30" t="s">
        <v>234</v>
      </c>
      <c r="E29" s="31" t="n">
        <v>4.7</v>
      </c>
      <c r="F29" s="32" t="n">
        <v>46310</v>
      </c>
    </row>
    <row r="30" customFormat="false" ht="15" hidden="false" customHeight="false" outlineLevel="0" collapsed="false">
      <c r="A30" s="29" t="n">
        <v>26</v>
      </c>
      <c r="B30" s="30" t="s">
        <v>21</v>
      </c>
      <c r="C30" s="30" t="s">
        <v>225</v>
      </c>
      <c r="D30" s="30" t="s">
        <v>235</v>
      </c>
      <c r="E30" s="31" t="n">
        <v>4.98</v>
      </c>
      <c r="F30" s="32" t="n">
        <v>46310</v>
      </c>
    </row>
    <row r="31" customFormat="false" ht="15" hidden="false" customHeight="false" outlineLevel="0" collapsed="false">
      <c r="A31" s="29" t="n">
        <v>27</v>
      </c>
      <c r="B31" s="30" t="s">
        <v>21</v>
      </c>
      <c r="C31" s="30" t="s">
        <v>236</v>
      </c>
      <c r="D31" s="30" t="s">
        <v>237</v>
      </c>
      <c r="E31" s="31" t="n">
        <v>5.17</v>
      </c>
      <c r="F31" s="32" t="n">
        <v>46310</v>
      </c>
    </row>
    <row r="32" customFormat="false" ht="15" hidden="false" customHeight="false" outlineLevel="0" collapsed="false">
      <c r="A32" s="29" t="n">
        <v>28</v>
      </c>
      <c r="B32" s="30" t="s">
        <v>21</v>
      </c>
      <c r="C32" s="30" t="s">
        <v>236</v>
      </c>
      <c r="D32" s="30" t="s">
        <v>238</v>
      </c>
      <c r="E32" s="31" t="n">
        <v>3.07</v>
      </c>
      <c r="F32" s="32" t="n">
        <v>46310</v>
      </c>
    </row>
    <row r="33" customFormat="false" ht="15" hidden="false" customHeight="false" outlineLevel="0" collapsed="false">
      <c r="A33" s="29" t="n">
        <v>29</v>
      </c>
      <c r="B33" s="30" t="s">
        <v>21</v>
      </c>
      <c r="C33" s="30" t="s">
        <v>236</v>
      </c>
      <c r="D33" s="30" t="s">
        <v>239</v>
      </c>
      <c r="E33" s="31" t="n">
        <v>8.52</v>
      </c>
      <c r="F33" s="32" t="n">
        <v>46310</v>
      </c>
    </row>
    <row r="34" customFormat="false" ht="15" hidden="false" customHeight="false" outlineLevel="0" collapsed="false">
      <c r="A34" s="29" t="n">
        <v>30</v>
      </c>
      <c r="B34" s="30" t="s">
        <v>21</v>
      </c>
      <c r="C34" s="30" t="s">
        <v>236</v>
      </c>
      <c r="D34" s="30" t="s">
        <v>240</v>
      </c>
      <c r="E34" s="31" t="n">
        <v>0</v>
      </c>
      <c r="F34" s="32" t="n">
        <v>46310</v>
      </c>
    </row>
    <row r="35" customFormat="false" ht="15" hidden="false" customHeight="false" outlineLevel="0" collapsed="false">
      <c r="A35" s="29" t="n">
        <v>31</v>
      </c>
      <c r="B35" s="30" t="s">
        <v>21</v>
      </c>
      <c r="C35" s="30" t="s">
        <v>241</v>
      </c>
      <c r="D35" s="30" t="s">
        <v>242</v>
      </c>
      <c r="E35" s="31" t="n">
        <v>13.35</v>
      </c>
      <c r="F35" s="32" t="n">
        <v>46310</v>
      </c>
    </row>
    <row r="36" customFormat="false" ht="15" hidden="false" customHeight="false" outlineLevel="0" collapsed="false">
      <c r="A36" s="29" t="n">
        <v>32</v>
      </c>
      <c r="B36" s="30" t="s">
        <v>21</v>
      </c>
      <c r="C36" s="30" t="s">
        <v>241</v>
      </c>
      <c r="D36" s="30" t="s">
        <v>243</v>
      </c>
      <c r="E36" s="31" t="n">
        <v>8.22</v>
      </c>
      <c r="F36" s="32" t="n">
        <v>46311</v>
      </c>
    </row>
    <row r="37" customFormat="false" ht="15" hidden="false" customHeight="false" outlineLevel="0" collapsed="false">
      <c r="A37" s="29" t="n">
        <v>33</v>
      </c>
      <c r="B37" s="30" t="s">
        <v>21</v>
      </c>
      <c r="C37" s="30" t="s">
        <v>241</v>
      </c>
      <c r="D37" s="30" t="s">
        <v>244</v>
      </c>
      <c r="E37" s="31" t="n">
        <v>11.43</v>
      </c>
      <c r="F37" s="32" t="n">
        <v>46311</v>
      </c>
    </row>
    <row r="38" customFormat="false" ht="15" hidden="false" customHeight="false" outlineLevel="0" collapsed="false">
      <c r="A38" s="29" t="n">
        <v>34</v>
      </c>
      <c r="B38" s="30" t="s">
        <v>21</v>
      </c>
      <c r="C38" s="30" t="s">
        <v>241</v>
      </c>
      <c r="D38" s="30" t="s">
        <v>245</v>
      </c>
      <c r="E38" s="31" t="n">
        <v>6.32</v>
      </c>
      <c r="F38" s="32" t="n">
        <v>46311</v>
      </c>
    </row>
    <row r="39" customFormat="false" ht="15" hidden="false" customHeight="false" outlineLevel="0" collapsed="false">
      <c r="A39" s="29" t="n">
        <v>35</v>
      </c>
      <c r="B39" s="30" t="s">
        <v>21</v>
      </c>
      <c r="C39" s="30" t="s">
        <v>241</v>
      </c>
      <c r="D39" s="30" t="s">
        <v>240</v>
      </c>
      <c r="E39" s="31" t="n">
        <v>0</v>
      </c>
      <c r="F39" s="32" t="n">
        <v>46311</v>
      </c>
    </row>
    <row r="40" customFormat="false" ht="15" hidden="false" customHeight="false" outlineLevel="0" collapsed="false">
      <c r="A40" s="29" t="n">
        <v>36</v>
      </c>
      <c r="B40" s="30" t="s">
        <v>21</v>
      </c>
      <c r="C40" s="30" t="s">
        <v>246</v>
      </c>
      <c r="D40" s="30" t="s">
        <v>247</v>
      </c>
      <c r="E40" s="31" t="n">
        <v>5.95</v>
      </c>
      <c r="F40" s="32" t="n">
        <v>46311</v>
      </c>
    </row>
    <row r="41" customFormat="false" ht="15" hidden="false" customHeight="false" outlineLevel="0" collapsed="false">
      <c r="A41" s="29" t="n">
        <v>37</v>
      </c>
      <c r="B41" s="30" t="s">
        <v>21</v>
      </c>
      <c r="C41" s="30" t="s">
        <v>246</v>
      </c>
      <c r="D41" s="30" t="s">
        <v>248</v>
      </c>
      <c r="E41" s="31" t="n">
        <v>11.07</v>
      </c>
      <c r="F41" s="32" t="n">
        <v>46314</v>
      </c>
    </row>
    <row r="42" customFormat="false" ht="15" hidden="false" customHeight="false" outlineLevel="0" collapsed="false">
      <c r="A42" s="29" t="n">
        <v>38</v>
      </c>
      <c r="B42" s="30" t="s">
        <v>21</v>
      </c>
      <c r="C42" s="30" t="s">
        <v>246</v>
      </c>
      <c r="D42" s="30" t="s">
        <v>249</v>
      </c>
      <c r="E42" s="31" t="n">
        <v>11.4</v>
      </c>
      <c r="F42" s="32" t="n">
        <v>46314</v>
      </c>
    </row>
    <row r="43" customFormat="false" ht="15" hidden="false" customHeight="false" outlineLevel="0" collapsed="false">
      <c r="A43" s="29" t="n">
        <v>39</v>
      </c>
      <c r="B43" s="30" t="s">
        <v>21</v>
      </c>
      <c r="C43" s="30" t="s">
        <v>246</v>
      </c>
      <c r="D43" s="30" t="s">
        <v>250</v>
      </c>
      <c r="E43" s="31" t="n">
        <v>12.65</v>
      </c>
      <c r="F43" s="32" t="n">
        <v>46314</v>
      </c>
    </row>
    <row r="44" customFormat="false" ht="15" hidden="false" customHeight="false" outlineLevel="0" collapsed="false">
      <c r="A44" s="29" t="n">
        <v>40</v>
      </c>
      <c r="B44" s="30" t="s">
        <v>21</v>
      </c>
      <c r="C44" s="30" t="s">
        <v>246</v>
      </c>
      <c r="D44" s="30" t="s">
        <v>251</v>
      </c>
      <c r="E44" s="31" t="n">
        <v>8.57</v>
      </c>
      <c r="F44" s="32" t="n">
        <v>46315</v>
      </c>
    </row>
    <row r="45" customFormat="false" ht="15" hidden="false" customHeight="false" outlineLevel="0" collapsed="false">
      <c r="A45" s="29" t="n">
        <v>41</v>
      </c>
      <c r="B45" s="30" t="s">
        <v>21</v>
      </c>
      <c r="C45" s="30" t="s">
        <v>246</v>
      </c>
      <c r="D45" s="30" t="s">
        <v>252</v>
      </c>
      <c r="E45" s="31" t="n">
        <v>5.2</v>
      </c>
      <c r="F45" s="32" t="n">
        <v>46315</v>
      </c>
    </row>
    <row r="46" customFormat="false" ht="15" hidden="false" customHeight="false" outlineLevel="0" collapsed="false">
      <c r="A46" s="29" t="n">
        <v>42</v>
      </c>
      <c r="B46" s="30" t="s">
        <v>21</v>
      </c>
      <c r="C46" s="30" t="s">
        <v>246</v>
      </c>
      <c r="D46" s="30" t="s">
        <v>253</v>
      </c>
      <c r="E46" s="31" t="n">
        <v>12.37</v>
      </c>
      <c r="F46" s="32" t="n">
        <v>46315</v>
      </c>
    </row>
    <row r="47" customFormat="false" ht="15" hidden="false" customHeight="false" outlineLevel="0" collapsed="false">
      <c r="A47" s="29" t="n">
        <v>43</v>
      </c>
      <c r="B47" s="30" t="s">
        <v>21</v>
      </c>
      <c r="C47" s="30" t="s">
        <v>246</v>
      </c>
      <c r="D47" s="30" t="s">
        <v>254</v>
      </c>
      <c r="E47" s="31" t="n">
        <v>8.65</v>
      </c>
      <c r="F47" s="32" t="n">
        <v>46315</v>
      </c>
    </row>
    <row r="48" customFormat="false" ht="15" hidden="false" customHeight="false" outlineLevel="0" collapsed="false">
      <c r="A48" s="29" t="n">
        <v>44</v>
      </c>
      <c r="B48" s="30" t="s">
        <v>21</v>
      </c>
      <c r="C48" s="30" t="s">
        <v>255</v>
      </c>
      <c r="D48" s="30" t="s">
        <v>256</v>
      </c>
      <c r="E48" s="31" t="n">
        <v>24.18</v>
      </c>
      <c r="F48" s="32" t="n">
        <v>46316</v>
      </c>
    </row>
    <row r="49" customFormat="false" ht="15" hidden="false" customHeight="false" outlineLevel="0" collapsed="false">
      <c r="A49" s="29" t="n">
        <v>45</v>
      </c>
      <c r="B49" s="30" t="s">
        <v>21</v>
      </c>
      <c r="C49" s="30" t="s">
        <v>255</v>
      </c>
      <c r="D49" s="30" t="s">
        <v>257</v>
      </c>
      <c r="E49" s="31" t="n">
        <v>10.05</v>
      </c>
      <c r="F49" s="32" t="n">
        <v>46316</v>
      </c>
    </row>
    <row r="50" customFormat="false" ht="15" hidden="false" customHeight="false" outlineLevel="0" collapsed="false">
      <c r="A50" s="29" t="n">
        <v>46</v>
      </c>
      <c r="B50" s="30" t="s">
        <v>21</v>
      </c>
      <c r="C50" s="30" t="s">
        <v>255</v>
      </c>
      <c r="D50" s="30" t="s">
        <v>258</v>
      </c>
      <c r="E50" s="31" t="n">
        <v>6.55</v>
      </c>
      <c r="F50" s="32" t="n">
        <v>46317</v>
      </c>
    </row>
    <row r="51" customFormat="false" ht="15" hidden="false" customHeight="false" outlineLevel="0" collapsed="false">
      <c r="A51" s="29" t="n">
        <v>47</v>
      </c>
      <c r="B51" s="30" t="s">
        <v>21</v>
      </c>
      <c r="C51" s="30" t="s">
        <v>255</v>
      </c>
      <c r="D51" s="30" t="s">
        <v>259</v>
      </c>
      <c r="E51" s="31" t="n">
        <v>13.52</v>
      </c>
      <c r="F51" s="32" t="n">
        <v>46317</v>
      </c>
    </row>
    <row r="52" customFormat="false" ht="15" hidden="false" customHeight="false" outlineLevel="0" collapsed="false">
      <c r="A52" s="29" t="n">
        <v>48</v>
      </c>
      <c r="B52" s="30" t="s">
        <v>21</v>
      </c>
      <c r="C52" s="30" t="s">
        <v>260</v>
      </c>
      <c r="D52" s="30" t="s">
        <v>261</v>
      </c>
      <c r="E52" s="31" t="n">
        <v>9.88</v>
      </c>
      <c r="F52" s="32" t="n">
        <v>46317</v>
      </c>
    </row>
    <row r="53" customFormat="false" ht="15" hidden="false" customHeight="false" outlineLevel="0" collapsed="false">
      <c r="A53" s="29" t="n">
        <v>49</v>
      </c>
      <c r="B53" s="30" t="s">
        <v>21</v>
      </c>
      <c r="C53" s="30" t="s">
        <v>260</v>
      </c>
      <c r="D53" s="30" t="s">
        <v>262</v>
      </c>
      <c r="E53" s="31" t="n">
        <v>7.7</v>
      </c>
      <c r="F53" s="32" t="n">
        <v>46317</v>
      </c>
    </row>
    <row r="54" customFormat="false" ht="15" hidden="false" customHeight="false" outlineLevel="0" collapsed="false">
      <c r="A54" s="29" t="n">
        <v>50</v>
      </c>
      <c r="B54" s="30" t="s">
        <v>21</v>
      </c>
      <c r="C54" s="30" t="s">
        <v>263</v>
      </c>
      <c r="D54" s="30" t="s">
        <v>264</v>
      </c>
      <c r="E54" s="31" t="n">
        <v>2.35</v>
      </c>
      <c r="F54" s="32" t="n">
        <v>46318</v>
      </c>
    </row>
    <row r="55" customFormat="false" ht="15" hidden="false" customHeight="false" outlineLevel="0" collapsed="false">
      <c r="A55" s="29" t="n">
        <v>51</v>
      </c>
      <c r="B55" s="30" t="s">
        <v>21</v>
      </c>
      <c r="C55" s="30" t="s">
        <v>263</v>
      </c>
      <c r="D55" s="30" t="s">
        <v>265</v>
      </c>
      <c r="E55" s="31" t="n">
        <v>3</v>
      </c>
      <c r="F55" s="32" t="n">
        <v>46318</v>
      </c>
    </row>
    <row r="56" customFormat="false" ht="15" hidden="false" customHeight="false" outlineLevel="0" collapsed="false">
      <c r="A56" s="29" t="n">
        <v>52</v>
      </c>
      <c r="B56" s="30" t="s">
        <v>21</v>
      </c>
      <c r="C56" s="30" t="s">
        <v>263</v>
      </c>
      <c r="D56" s="30" t="s">
        <v>266</v>
      </c>
      <c r="E56" s="31" t="n">
        <v>1.22</v>
      </c>
      <c r="F56" s="32" t="n">
        <v>46318</v>
      </c>
    </row>
    <row r="57" customFormat="false" ht="15" hidden="false" customHeight="false" outlineLevel="0" collapsed="false">
      <c r="A57" s="29" t="n">
        <v>53</v>
      </c>
      <c r="B57" s="30" t="s">
        <v>21</v>
      </c>
      <c r="C57" s="30" t="s">
        <v>263</v>
      </c>
      <c r="D57" s="30" t="s">
        <v>267</v>
      </c>
      <c r="E57" s="31" t="n">
        <v>1.25</v>
      </c>
      <c r="F57" s="32" t="n">
        <v>46318</v>
      </c>
    </row>
    <row r="58" customFormat="false" ht="15" hidden="false" customHeight="false" outlineLevel="0" collapsed="false">
      <c r="A58" s="29" t="n">
        <v>54</v>
      </c>
      <c r="B58" s="30" t="s">
        <v>21</v>
      </c>
      <c r="C58" s="30" t="s">
        <v>263</v>
      </c>
      <c r="D58" s="30" t="s">
        <v>268</v>
      </c>
      <c r="E58" s="31" t="n">
        <v>5.88</v>
      </c>
      <c r="F58" s="32" t="n">
        <v>46318</v>
      </c>
    </row>
    <row r="59" customFormat="false" ht="15" hidden="false" customHeight="false" outlineLevel="0" collapsed="false">
      <c r="A59" s="29" t="n">
        <v>55</v>
      </c>
      <c r="B59" s="30" t="s">
        <v>21</v>
      </c>
      <c r="C59" s="30" t="s">
        <v>263</v>
      </c>
      <c r="D59" s="30" t="s">
        <v>269</v>
      </c>
      <c r="E59" s="31" t="n">
        <v>2.78</v>
      </c>
      <c r="F59" s="32" t="n">
        <v>46318</v>
      </c>
    </row>
    <row r="60" customFormat="false" ht="15" hidden="false" customHeight="false" outlineLevel="0" collapsed="false">
      <c r="A60" s="29" t="n">
        <v>56</v>
      </c>
      <c r="B60" s="30" t="s">
        <v>21</v>
      </c>
      <c r="C60" s="30" t="s">
        <v>263</v>
      </c>
      <c r="D60" s="30" t="s">
        <v>270</v>
      </c>
      <c r="E60" s="31" t="n">
        <v>3.18</v>
      </c>
      <c r="F60" s="32" t="n">
        <v>46318</v>
      </c>
    </row>
    <row r="61" customFormat="false" ht="15" hidden="false" customHeight="false" outlineLevel="0" collapsed="false">
      <c r="A61" s="29" t="n">
        <v>57</v>
      </c>
      <c r="B61" s="30" t="s">
        <v>21</v>
      </c>
      <c r="C61" s="30" t="s">
        <v>263</v>
      </c>
      <c r="D61" s="30" t="s">
        <v>240</v>
      </c>
      <c r="E61" s="31" t="n">
        <v>0</v>
      </c>
      <c r="F61" s="32" t="n">
        <v>46318</v>
      </c>
    </row>
    <row r="62" customFormat="false" ht="15" hidden="false" customHeight="false" outlineLevel="0" collapsed="false">
      <c r="A62" s="29" t="n">
        <v>58</v>
      </c>
      <c r="B62" s="30" t="s">
        <v>21</v>
      </c>
      <c r="C62" s="30" t="s">
        <v>271</v>
      </c>
      <c r="D62" s="30" t="s">
        <v>272</v>
      </c>
      <c r="E62" s="31" t="n">
        <v>2.73</v>
      </c>
      <c r="F62" s="32" t="n">
        <v>46318</v>
      </c>
    </row>
    <row r="63" customFormat="false" ht="15" hidden="false" customHeight="false" outlineLevel="0" collapsed="false">
      <c r="A63" s="29" t="n">
        <v>59</v>
      </c>
      <c r="B63" s="30" t="s">
        <v>21</v>
      </c>
      <c r="C63" s="30" t="s">
        <v>271</v>
      </c>
      <c r="D63" s="30" t="s">
        <v>273</v>
      </c>
      <c r="E63" s="31" t="n">
        <v>0.95</v>
      </c>
      <c r="F63" s="32" t="n">
        <v>46318</v>
      </c>
    </row>
    <row r="64" customFormat="false" ht="15" hidden="false" customHeight="false" outlineLevel="0" collapsed="false">
      <c r="A64" s="29" t="n">
        <v>60</v>
      </c>
      <c r="B64" s="30" t="s">
        <v>21</v>
      </c>
      <c r="C64" s="30" t="s">
        <v>271</v>
      </c>
      <c r="D64" s="30" t="s">
        <v>274</v>
      </c>
      <c r="E64" s="31" t="n">
        <v>5.65</v>
      </c>
      <c r="F64" s="32" t="n">
        <v>46318</v>
      </c>
    </row>
    <row r="65" customFormat="false" ht="15" hidden="false" customHeight="false" outlineLevel="0" collapsed="false">
      <c r="A65" s="29" t="n">
        <v>61</v>
      </c>
      <c r="B65" s="30" t="s">
        <v>21</v>
      </c>
      <c r="C65" s="30" t="s">
        <v>271</v>
      </c>
      <c r="D65" s="30" t="s">
        <v>275</v>
      </c>
      <c r="E65" s="31" t="n">
        <v>11.7</v>
      </c>
      <c r="F65" s="32" t="n">
        <v>46321</v>
      </c>
    </row>
    <row r="66" customFormat="false" ht="15" hidden="false" customHeight="false" outlineLevel="0" collapsed="false">
      <c r="A66" s="29" t="n">
        <v>62</v>
      </c>
      <c r="B66" s="30" t="s">
        <v>21</v>
      </c>
      <c r="C66" s="30" t="s">
        <v>271</v>
      </c>
      <c r="D66" s="30" t="s">
        <v>276</v>
      </c>
      <c r="E66" s="31" t="n">
        <v>2.65</v>
      </c>
      <c r="F66" s="32" t="n">
        <v>46321</v>
      </c>
    </row>
    <row r="67" customFormat="false" ht="15" hidden="false" customHeight="false" outlineLevel="0" collapsed="false">
      <c r="A67" s="29" t="n">
        <v>63</v>
      </c>
      <c r="B67" s="30" t="s">
        <v>21</v>
      </c>
      <c r="C67" s="30" t="s">
        <v>271</v>
      </c>
      <c r="D67" s="30" t="s">
        <v>277</v>
      </c>
      <c r="E67" s="31" t="n">
        <v>4.95</v>
      </c>
      <c r="F67" s="32" t="n">
        <v>46321</v>
      </c>
    </row>
    <row r="68" customFormat="false" ht="15" hidden="false" customHeight="false" outlineLevel="0" collapsed="false">
      <c r="A68" s="29" t="n">
        <v>64</v>
      </c>
      <c r="B68" s="30" t="s">
        <v>21</v>
      </c>
      <c r="C68" s="30" t="s">
        <v>271</v>
      </c>
      <c r="D68" s="30" t="s">
        <v>278</v>
      </c>
      <c r="E68" s="31" t="n">
        <v>0.57</v>
      </c>
      <c r="F68" s="32" t="n">
        <v>46321</v>
      </c>
    </row>
    <row r="69" customFormat="false" ht="15" hidden="false" customHeight="false" outlineLevel="0" collapsed="false">
      <c r="A69" s="29" t="n">
        <v>65</v>
      </c>
      <c r="B69" s="30" t="s">
        <v>21</v>
      </c>
      <c r="C69" s="30" t="s">
        <v>271</v>
      </c>
      <c r="D69" s="30" t="s">
        <v>279</v>
      </c>
      <c r="E69" s="31" t="n">
        <v>2.75</v>
      </c>
      <c r="F69" s="32" t="n">
        <v>46321</v>
      </c>
    </row>
    <row r="70" customFormat="false" ht="15" hidden="false" customHeight="false" outlineLevel="0" collapsed="false">
      <c r="A70" s="29" t="n">
        <v>66</v>
      </c>
      <c r="B70" s="30" t="s">
        <v>21</v>
      </c>
      <c r="C70" s="30" t="s">
        <v>271</v>
      </c>
      <c r="D70" s="30" t="s">
        <v>280</v>
      </c>
      <c r="E70" s="31" t="n">
        <v>1.1</v>
      </c>
      <c r="F70" s="32" t="n">
        <v>46321</v>
      </c>
    </row>
    <row r="71" customFormat="false" ht="15" hidden="false" customHeight="false" outlineLevel="0" collapsed="false">
      <c r="A71" s="29" t="n">
        <v>67</v>
      </c>
      <c r="B71" s="30" t="s">
        <v>21</v>
      </c>
      <c r="C71" s="30" t="s">
        <v>271</v>
      </c>
      <c r="D71" s="30" t="s">
        <v>281</v>
      </c>
      <c r="E71" s="31" t="n">
        <v>5.65</v>
      </c>
      <c r="F71" s="32" t="n">
        <v>46321</v>
      </c>
    </row>
    <row r="72" customFormat="false" ht="15" hidden="false" customHeight="false" outlineLevel="0" collapsed="false">
      <c r="A72" s="29" t="n">
        <v>68</v>
      </c>
      <c r="B72" s="30" t="s">
        <v>21</v>
      </c>
      <c r="C72" s="30" t="s">
        <v>271</v>
      </c>
      <c r="D72" s="30" t="s">
        <v>282</v>
      </c>
      <c r="E72" s="31" t="n">
        <v>0.97</v>
      </c>
      <c r="F72" s="32" t="n">
        <v>46321</v>
      </c>
    </row>
    <row r="73" customFormat="false" ht="15" hidden="false" customHeight="false" outlineLevel="0" collapsed="false">
      <c r="A73" s="29" t="n">
        <v>69</v>
      </c>
      <c r="B73" s="30" t="s">
        <v>21</v>
      </c>
      <c r="C73" s="30" t="s">
        <v>271</v>
      </c>
      <c r="D73" s="30" t="s">
        <v>283</v>
      </c>
      <c r="E73" s="31" t="n">
        <v>1.08</v>
      </c>
      <c r="F73" s="32" t="n">
        <v>46322</v>
      </c>
    </row>
    <row r="74" customFormat="false" ht="15" hidden="false" customHeight="false" outlineLevel="0" collapsed="false">
      <c r="A74" s="29" t="n">
        <v>70</v>
      </c>
      <c r="B74" s="30" t="s">
        <v>21</v>
      </c>
      <c r="C74" s="30" t="s">
        <v>271</v>
      </c>
      <c r="D74" s="30" t="s">
        <v>284</v>
      </c>
      <c r="E74" s="31" t="n">
        <v>2.5</v>
      </c>
      <c r="F74" s="32" t="n">
        <v>46322</v>
      </c>
    </row>
    <row r="75" customFormat="false" ht="15" hidden="false" customHeight="false" outlineLevel="0" collapsed="false">
      <c r="A75" s="29" t="n">
        <v>71</v>
      </c>
      <c r="B75" s="30" t="s">
        <v>21</v>
      </c>
      <c r="C75" s="30" t="s">
        <v>271</v>
      </c>
      <c r="D75" s="30" t="s">
        <v>285</v>
      </c>
      <c r="E75" s="31" t="n">
        <v>4.73</v>
      </c>
      <c r="F75" s="32" t="n">
        <v>46322</v>
      </c>
    </row>
    <row r="76" customFormat="false" ht="15" hidden="false" customHeight="false" outlineLevel="0" collapsed="false">
      <c r="A76" s="29" t="n">
        <v>72</v>
      </c>
      <c r="B76" s="30" t="s">
        <v>21</v>
      </c>
      <c r="C76" s="30" t="s">
        <v>271</v>
      </c>
      <c r="D76" s="30" t="s">
        <v>285</v>
      </c>
      <c r="E76" s="31" t="n">
        <v>5.62</v>
      </c>
      <c r="F76" s="32" t="n">
        <v>46322</v>
      </c>
    </row>
    <row r="77" customFormat="false" ht="15" hidden="false" customHeight="false" outlineLevel="0" collapsed="false">
      <c r="A77" s="29" t="n">
        <v>73</v>
      </c>
      <c r="B77" s="30" t="s">
        <v>21</v>
      </c>
      <c r="C77" s="30" t="s">
        <v>271</v>
      </c>
      <c r="D77" s="30" t="s">
        <v>286</v>
      </c>
      <c r="E77" s="31" t="n">
        <v>0.35</v>
      </c>
      <c r="F77" s="32" t="n">
        <v>46322</v>
      </c>
    </row>
    <row r="78" customFormat="false" ht="15" hidden="false" customHeight="false" outlineLevel="0" collapsed="false">
      <c r="A78" s="29" t="n">
        <v>74</v>
      </c>
      <c r="B78" s="30" t="s">
        <v>21</v>
      </c>
      <c r="C78" s="30" t="s">
        <v>271</v>
      </c>
      <c r="D78" s="30" t="s">
        <v>287</v>
      </c>
      <c r="E78" s="31" t="n">
        <v>0</v>
      </c>
      <c r="F78" s="32" t="n">
        <v>46322</v>
      </c>
    </row>
    <row r="79" customFormat="false" ht="15" hidden="false" customHeight="false" outlineLevel="0" collapsed="false">
      <c r="A79" s="29" t="n">
        <v>75</v>
      </c>
      <c r="B79" s="30" t="s">
        <v>21</v>
      </c>
      <c r="C79" s="30" t="s">
        <v>271</v>
      </c>
      <c r="D79" s="30" t="s">
        <v>240</v>
      </c>
      <c r="E79" s="31" t="n">
        <v>0</v>
      </c>
      <c r="F79" s="32" t="n">
        <v>46322</v>
      </c>
    </row>
    <row r="80" customFormat="false" ht="15" hidden="false" customHeight="false" outlineLevel="0" collapsed="false">
      <c r="A80" s="29" t="n">
        <v>76</v>
      </c>
      <c r="B80" s="30" t="s">
        <v>21</v>
      </c>
      <c r="C80" s="30" t="s">
        <v>271</v>
      </c>
      <c r="D80" s="30" t="s">
        <v>240</v>
      </c>
      <c r="E80" s="31" t="n">
        <v>0</v>
      </c>
      <c r="F80" s="32" t="n">
        <v>46322</v>
      </c>
    </row>
    <row r="81" customFormat="false" ht="15" hidden="false" customHeight="false" outlineLevel="0" collapsed="false">
      <c r="A81" s="29" t="n">
        <v>77</v>
      </c>
      <c r="B81" s="30" t="s">
        <v>21</v>
      </c>
      <c r="C81" s="30" t="s">
        <v>288</v>
      </c>
      <c r="D81" s="30" t="s">
        <v>289</v>
      </c>
      <c r="E81" s="31" t="n">
        <v>1.42</v>
      </c>
      <c r="F81" s="32" t="n">
        <v>46322</v>
      </c>
    </row>
    <row r="82" customFormat="false" ht="15" hidden="false" customHeight="false" outlineLevel="0" collapsed="false">
      <c r="A82" s="29" t="n">
        <v>78</v>
      </c>
      <c r="B82" s="30" t="s">
        <v>21</v>
      </c>
      <c r="C82" s="30" t="s">
        <v>288</v>
      </c>
      <c r="D82" s="30" t="s">
        <v>290</v>
      </c>
      <c r="E82" s="31" t="n">
        <v>3.82</v>
      </c>
      <c r="F82" s="32" t="n">
        <v>46322</v>
      </c>
    </row>
    <row r="83" customFormat="false" ht="15" hidden="false" customHeight="false" outlineLevel="0" collapsed="false">
      <c r="A83" s="29" t="n">
        <v>79</v>
      </c>
      <c r="B83" s="30" t="s">
        <v>21</v>
      </c>
      <c r="C83" s="30" t="s">
        <v>288</v>
      </c>
      <c r="D83" s="30" t="s">
        <v>291</v>
      </c>
      <c r="E83" s="31" t="n">
        <v>2.43</v>
      </c>
      <c r="F83" s="32" t="n">
        <v>46322</v>
      </c>
    </row>
    <row r="84" customFormat="false" ht="15" hidden="false" customHeight="false" outlineLevel="0" collapsed="false">
      <c r="A84" s="29" t="n">
        <v>80</v>
      </c>
      <c r="B84" s="30" t="s">
        <v>21</v>
      </c>
      <c r="C84" s="30" t="s">
        <v>288</v>
      </c>
      <c r="D84" s="30" t="s">
        <v>292</v>
      </c>
      <c r="E84" s="31" t="n">
        <v>4.43</v>
      </c>
      <c r="F84" s="32" t="n">
        <v>46322</v>
      </c>
    </row>
    <row r="85" customFormat="false" ht="15" hidden="false" customHeight="false" outlineLevel="0" collapsed="false">
      <c r="A85" s="29" t="n">
        <v>81</v>
      </c>
      <c r="B85" s="30" t="s">
        <v>21</v>
      </c>
      <c r="C85" s="30" t="s">
        <v>288</v>
      </c>
      <c r="D85" s="30" t="s">
        <v>293</v>
      </c>
      <c r="E85" s="31" t="n">
        <v>2.28</v>
      </c>
      <c r="F85" s="32" t="n">
        <v>46322</v>
      </c>
    </row>
    <row r="86" customFormat="false" ht="15" hidden="false" customHeight="false" outlineLevel="0" collapsed="false">
      <c r="A86" s="29" t="n">
        <v>82</v>
      </c>
      <c r="B86" s="30" t="s">
        <v>21</v>
      </c>
      <c r="C86" s="30" t="s">
        <v>288</v>
      </c>
      <c r="D86" s="30" t="s">
        <v>294</v>
      </c>
      <c r="E86" s="31" t="n">
        <v>0.32</v>
      </c>
      <c r="F86" s="32" t="n">
        <v>46322</v>
      </c>
    </row>
    <row r="87" customFormat="false" ht="15" hidden="false" customHeight="false" outlineLevel="0" collapsed="false">
      <c r="A87" s="29" t="n">
        <v>83</v>
      </c>
      <c r="B87" s="30" t="s">
        <v>21</v>
      </c>
      <c r="C87" s="30" t="s">
        <v>288</v>
      </c>
      <c r="D87" s="30" t="s">
        <v>295</v>
      </c>
      <c r="E87" s="31" t="n">
        <v>3.63</v>
      </c>
      <c r="F87" s="32" t="n">
        <v>46322</v>
      </c>
    </row>
    <row r="88" customFormat="false" ht="15" hidden="false" customHeight="false" outlineLevel="0" collapsed="false">
      <c r="A88" s="29" t="n">
        <v>84</v>
      </c>
      <c r="B88" s="30" t="s">
        <v>21</v>
      </c>
      <c r="C88" s="30" t="s">
        <v>288</v>
      </c>
      <c r="D88" s="30" t="s">
        <v>296</v>
      </c>
      <c r="E88" s="31" t="n">
        <v>2.22</v>
      </c>
      <c r="F88" s="32" t="n">
        <v>46323</v>
      </c>
    </row>
    <row r="89" customFormat="false" ht="15" hidden="false" customHeight="false" outlineLevel="0" collapsed="false">
      <c r="A89" s="29" t="n">
        <v>85</v>
      </c>
      <c r="B89" s="30" t="s">
        <v>21</v>
      </c>
      <c r="C89" s="30" t="s">
        <v>288</v>
      </c>
      <c r="D89" s="30" t="s">
        <v>297</v>
      </c>
      <c r="E89" s="31" t="n">
        <v>6</v>
      </c>
      <c r="F89" s="32" t="n">
        <v>46323</v>
      </c>
    </row>
    <row r="90" customFormat="false" ht="15" hidden="false" customHeight="false" outlineLevel="0" collapsed="false">
      <c r="A90" s="29" t="n">
        <v>86</v>
      </c>
      <c r="B90" s="30" t="s">
        <v>21</v>
      </c>
      <c r="C90" s="30" t="s">
        <v>288</v>
      </c>
      <c r="D90" s="30" t="s">
        <v>298</v>
      </c>
      <c r="E90" s="31" t="n">
        <v>3.03</v>
      </c>
      <c r="F90" s="32" t="n">
        <v>46323</v>
      </c>
    </row>
    <row r="91" customFormat="false" ht="15" hidden="false" customHeight="false" outlineLevel="0" collapsed="false">
      <c r="A91" s="29" t="n">
        <v>87</v>
      </c>
      <c r="B91" s="30" t="s">
        <v>21</v>
      </c>
      <c r="C91" s="30" t="s">
        <v>288</v>
      </c>
      <c r="D91" s="30" t="s">
        <v>299</v>
      </c>
      <c r="E91" s="31" t="n">
        <v>1.87</v>
      </c>
      <c r="F91" s="32" t="n">
        <v>46323</v>
      </c>
    </row>
    <row r="92" customFormat="false" ht="15" hidden="false" customHeight="false" outlineLevel="0" collapsed="false">
      <c r="A92" s="29" t="n">
        <v>88</v>
      </c>
      <c r="B92" s="30" t="s">
        <v>21</v>
      </c>
      <c r="C92" s="30" t="s">
        <v>288</v>
      </c>
      <c r="D92" s="30" t="s">
        <v>300</v>
      </c>
      <c r="E92" s="31" t="n">
        <v>4.8</v>
      </c>
      <c r="F92" s="32" t="n">
        <v>46323</v>
      </c>
    </row>
    <row r="93" customFormat="false" ht="15" hidden="false" customHeight="false" outlineLevel="0" collapsed="false">
      <c r="A93" s="29" t="n">
        <v>89</v>
      </c>
      <c r="B93" s="30" t="s">
        <v>21</v>
      </c>
      <c r="C93" s="30" t="s">
        <v>288</v>
      </c>
      <c r="D93" s="30" t="s">
        <v>301</v>
      </c>
      <c r="E93" s="31" t="n">
        <v>1.83</v>
      </c>
      <c r="F93" s="32" t="n">
        <v>46323</v>
      </c>
    </row>
    <row r="94" customFormat="false" ht="15" hidden="false" customHeight="false" outlineLevel="0" collapsed="false">
      <c r="A94" s="29" t="n">
        <v>90</v>
      </c>
      <c r="B94" s="30" t="s">
        <v>21</v>
      </c>
      <c r="C94" s="30" t="s">
        <v>288</v>
      </c>
      <c r="D94" s="30" t="s">
        <v>302</v>
      </c>
      <c r="E94" s="31" t="n">
        <v>13.07</v>
      </c>
      <c r="F94" s="32" t="n">
        <v>46323</v>
      </c>
    </row>
    <row r="95" customFormat="false" ht="15" hidden="false" customHeight="false" outlineLevel="0" collapsed="false">
      <c r="A95" s="29" t="n">
        <v>91</v>
      </c>
      <c r="B95" s="30" t="s">
        <v>21</v>
      </c>
      <c r="C95" s="30" t="s">
        <v>288</v>
      </c>
      <c r="D95" s="30" t="s">
        <v>303</v>
      </c>
      <c r="E95" s="31" t="n">
        <v>4.07</v>
      </c>
      <c r="F95" s="32" t="n">
        <v>46324</v>
      </c>
    </row>
    <row r="96" customFormat="false" ht="15" hidden="false" customHeight="false" outlineLevel="0" collapsed="false">
      <c r="A96" s="29" t="n">
        <v>92</v>
      </c>
      <c r="B96" s="30" t="s">
        <v>21</v>
      </c>
      <c r="C96" s="30" t="s">
        <v>288</v>
      </c>
      <c r="D96" s="30" t="s">
        <v>304</v>
      </c>
      <c r="E96" s="31" t="n">
        <v>7.88</v>
      </c>
      <c r="F96" s="32" t="n">
        <v>46324</v>
      </c>
    </row>
    <row r="97" customFormat="false" ht="15" hidden="false" customHeight="false" outlineLevel="0" collapsed="false">
      <c r="A97" s="29" t="n">
        <v>93</v>
      </c>
      <c r="B97" s="30" t="s">
        <v>21</v>
      </c>
      <c r="C97" s="30" t="s">
        <v>288</v>
      </c>
      <c r="D97" s="30" t="s">
        <v>305</v>
      </c>
      <c r="E97" s="31" t="n">
        <v>2.98</v>
      </c>
      <c r="F97" s="32" t="n">
        <v>46324</v>
      </c>
    </row>
    <row r="98" customFormat="false" ht="15" hidden="false" customHeight="false" outlineLevel="0" collapsed="false">
      <c r="A98" s="29" t="n">
        <v>94</v>
      </c>
      <c r="B98" s="30" t="s">
        <v>21</v>
      </c>
      <c r="C98" s="30" t="s">
        <v>288</v>
      </c>
      <c r="D98" s="30" t="s">
        <v>306</v>
      </c>
      <c r="E98" s="31" t="n">
        <v>1.78</v>
      </c>
      <c r="F98" s="32" t="n">
        <v>46324</v>
      </c>
    </row>
    <row r="99" customFormat="false" ht="15" hidden="false" customHeight="false" outlineLevel="0" collapsed="false">
      <c r="A99" s="29" t="n">
        <v>95</v>
      </c>
      <c r="B99" s="30" t="s">
        <v>21</v>
      </c>
      <c r="C99" s="30" t="s">
        <v>288</v>
      </c>
      <c r="D99" s="30" t="s">
        <v>307</v>
      </c>
      <c r="E99" s="31" t="n">
        <v>5.25</v>
      </c>
      <c r="F99" s="32" t="n">
        <v>46324</v>
      </c>
    </row>
    <row r="100" customFormat="false" ht="15" hidden="false" customHeight="false" outlineLevel="0" collapsed="false">
      <c r="A100" s="29" t="n">
        <v>96</v>
      </c>
      <c r="B100" s="30" t="s">
        <v>21</v>
      </c>
      <c r="C100" s="30" t="s">
        <v>288</v>
      </c>
      <c r="D100" s="30" t="s">
        <v>308</v>
      </c>
      <c r="E100" s="31" t="n">
        <v>6.78</v>
      </c>
      <c r="F100" s="32" t="n">
        <v>46324</v>
      </c>
    </row>
    <row r="101" customFormat="false" ht="15" hidden="false" customHeight="false" outlineLevel="0" collapsed="false">
      <c r="A101" s="29" t="n">
        <v>97</v>
      </c>
      <c r="B101" s="30" t="s">
        <v>21</v>
      </c>
      <c r="C101" s="30" t="s">
        <v>288</v>
      </c>
      <c r="D101" s="30" t="s">
        <v>309</v>
      </c>
      <c r="E101" s="31" t="n">
        <v>9</v>
      </c>
      <c r="F101" s="32" t="n">
        <v>46324</v>
      </c>
    </row>
    <row r="102" customFormat="false" ht="15" hidden="false" customHeight="false" outlineLevel="0" collapsed="false">
      <c r="A102" s="29" t="n">
        <v>98</v>
      </c>
      <c r="B102" s="30" t="s">
        <v>21</v>
      </c>
      <c r="C102" s="30" t="s">
        <v>288</v>
      </c>
      <c r="D102" s="30" t="s">
        <v>310</v>
      </c>
      <c r="E102" s="31" t="n">
        <v>3.05</v>
      </c>
      <c r="F102" s="32" t="n">
        <v>46325</v>
      </c>
    </row>
    <row r="103" customFormat="false" ht="15" hidden="false" customHeight="false" outlineLevel="0" collapsed="false">
      <c r="A103" s="29" t="n">
        <v>99</v>
      </c>
      <c r="B103" s="30" t="s">
        <v>21</v>
      </c>
      <c r="C103" s="30" t="s">
        <v>288</v>
      </c>
      <c r="D103" s="30" t="s">
        <v>311</v>
      </c>
      <c r="E103" s="31" t="n">
        <v>2.33</v>
      </c>
      <c r="F103" s="32" t="n">
        <v>46325</v>
      </c>
    </row>
    <row r="104" customFormat="false" ht="15" hidden="false" customHeight="false" outlineLevel="0" collapsed="false">
      <c r="A104" s="29" t="n">
        <v>100</v>
      </c>
      <c r="B104" s="30" t="s">
        <v>21</v>
      </c>
      <c r="C104" s="30" t="s">
        <v>288</v>
      </c>
      <c r="D104" s="30" t="s">
        <v>312</v>
      </c>
      <c r="E104" s="31" t="n">
        <v>7.67</v>
      </c>
      <c r="F104" s="32" t="n">
        <v>46325</v>
      </c>
    </row>
    <row r="105" customFormat="false" ht="15" hidden="false" customHeight="false" outlineLevel="0" collapsed="false">
      <c r="A105" s="29" t="n">
        <v>101</v>
      </c>
      <c r="B105" s="30" t="s">
        <v>21</v>
      </c>
      <c r="C105" s="30" t="s">
        <v>288</v>
      </c>
      <c r="D105" s="30" t="s">
        <v>313</v>
      </c>
      <c r="E105" s="31" t="n">
        <v>6.5</v>
      </c>
      <c r="F105" s="32" t="n">
        <v>46325</v>
      </c>
    </row>
    <row r="106" customFormat="false" ht="15" hidden="false" customHeight="false" outlineLevel="0" collapsed="false">
      <c r="A106" s="29" t="n">
        <v>102</v>
      </c>
      <c r="B106" s="30" t="s">
        <v>21</v>
      </c>
      <c r="C106" s="30" t="s">
        <v>288</v>
      </c>
      <c r="D106" s="30" t="s">
        <v>314</v>
      </c>
      <c r="E106" s="31" t="n">
        <v>2.37</v>
      </c>
      <c r="F106" s="32" t="n">
        <v>46325</v>
      </c>
    </row>
    <row r="107" customFormat="false" ht="15" hidden="false" customHeight="false" outlineLevel="0" collapsed="false">
      <c r="A107" s="29" t="n">
        <v>103</v>
      </c>
      <c r="B107" s="30" t="s">
        <v>21</v>
      </c>
      <c r="C107" s="30" t="s">
        <v>288</v>
      </c>
      <c r="D107" s="30" t="s">
        <v>315</v>
      </c>
      <c r="E107" s="31" t="n">
        <v>8.88</v>
      </c>
      <c r="F107" s="32" t="n">
        <v>46325</v>
      </c>
    </row>
    <row r="108" customFormat="false" ht="15" hidden="false" customHeight="false" outlineLevel="0" collapsed="false">
      <c r="A108" s="29" t="n">
        <v>104</v>
      </c>
      <c r="B108" s="30" t="s">
        <v>21</v>
      </c>
      <c r="C108" s="30" t="s">
        <v>288</v>
      </c>
      <c r="D108" s="30" t="s">
        <v>316</v>
      </c>
      <c r="E108" s="31" t="n">
        <v>4.82</v>
      </c>
      <c r="F108" s="32" t="n">
        <v>46328</v>
      </c>
    </row>
    <row r="109" customFormat="false" ht="15" hidden="false" customHeight="false" outlineLevel="0" collapsed="false">
      <c r="A109" s="29" t="n">
        <v>105</v>
      </c>
      <c r="B109" s="30" t="s">
        <v>21</v>
      </c>
      <c r="C109" s="30" t="s">
        <v>288</v>
      </c>
      <c r="D109" s="30" t="s">
        <v>317</v>
      </c>
      <c r="E109" s="31" t="n">
        <v>4.07</v>
      </c>
      <c r="F109" s="32" t="n">
        <v>46328</v>
      </c>
    </row>
    <row r="110" customFormat="false" ht="15" hidden="false" customHeight="false" outlineLevel="0" collapsed="false">
      <c r="A110" s="29" t="n">
        <v>106</v>
      </c>
      <c r="B110" s="30" t="s">
        <v>21</v>
      </c>
      <c r="C110" s="30" t="s">
        <v>288</v>
      </c>
      <c r="D110" s="30" t="s">
        <v>318</v>
      </c>
      <c r="E110" s="31" t="n">
        <v>2.33</v>
      </c>
      <c r="F110" s="32" t="n">
        <v>46328</v>
      </c>
    </row>
    <row r="111" customFormat="false" ht="15" hidden="false" customHeight="false" outlineLevel="0" collapsed="false">
      <c r="A111" s="29" t="n">
        <v>107</v>
      </c>
      <c r="B111" s="30" t="s">
        <v>21</v>
      </c>
      <c r="C111" s="30" t="s">
        <v>288</v>
      </c>
      <c r="D111" s="30" t="s">
        <v>319</v>
      </c>
      <c r="E111" s="31" t="n">
        <v>1.18</v>
      </c>
      <c r="F111" s="32" t="n">
        <v>46328</v>
      </c>
    </row>
    <row r="112" customFormat="false" ht="15" hidden="false" customHeight="false" outlineLevel="0" collapsed="false">
      <c r="A112" s="29" t="n">
        <v>108</v>
      </c>
      <c r="B112" s="30" t="s">
        <v>21</v>
      </c>
      <c r="C112" s="30" t="s">
        <v>320</v>
      </c>
      <c r="D112" s="30" t="s">
        <v>321</v>
      </c>
      <c r="E112" s="31" t="n">
        <v>11.25</v>
      </c>
      <c r="F112" s="32" t="n">
        <v>46328</v>
      </c>
    </row>
    <row r="113" customFormat="false" ht="15" hidden="false" customHeight="false" outlineLevel="0" collapsed="false">
      <c r="A113" s="29" t="n">
        <v>109</v>
      </c>
      <c r="B113" s="30" t="s">
        <v>21</v>
      </c>
      <c r="C113" s="30" t="s">
        <v>320</v>
      </c>
      <c r="D113" s="30" t="s">
        <v>322</v>
      </c>
      <c r="E113" s="31" t="n">
        <v>6.22</v>
      </c>
      <c r="F113" s="32" t="n">
        <v>46328</v>
      </c>
    </row>
    <row r="114" customFormat="false" ht="15" hidden="false" customHeight="false" outlineLevel="0" collapsed="false">
      <c r="A114" s="29" t="n">
        <v>110</v>
      </c>
      <c r="B114" s="30" t="s">
        <v>21</v>
      </c>
      <c r="C114" s="30" t="s">
        <v>320</v>
      </c>
      <c r="D114" s="30" t="s">
        <v>323</v>
      </c>
      <c r="E114" s="31" t="n">
        <v>11.22</v>
      </c>
      <c r="F114" s="32" t="n">
        <v>46329</v>
      </c>
    </row>
    <row r="115" customFormat="false" ht="15" hidden="false" customHeight="false" outlineLevel="0" collapsed="false">
      <c r="A115" s="29" t="n">
        <v>111</v>
      </c>
      <c r="B115" s="30" t="s">
        <v>21</v>
      </c>
      <c r="C115" s="30" t="s">
        <v>320</v>
      </c>
      <c r="D115" s="30" t="s">
        <v>324</v>
      </c>
      <c r="E115" s="31" t="n">
        <v>9.75</v>
      </c>
      <c r="F115" s="32" t="n">
        <v>46329</v>
      </c>
    </row>
    <row r="116" customFormat="false" ht="15" hidden="false" customHeight="false" outlineLevel="0" collapsed="false">
      <c r="A116" s="29" t="n">
        <v>112</v>
      </c>
      <c r="B116" s="30" t="s">
        <v>21</v>
      </c>
      <c r="C116" s="30" t="s">
        <v>320</v>
      </c>
      <c r="D116" s="30" t="s">
        <v>325</v>
      </c>
      <c r="E116" s="31" t="n">
        <v>2.75</v>
      </c>
      <c r="F116" s="32" t="n">
        <v>46329</v>
      </c>
    </row>
    <row r="117" customFormat="false" ht="15" hidden="false" customHeight="false" outlineLevel="0" collapsed="false">
      <c r="A117" s="29" t="n">
        <v>113</v>
      </c>
      <c r="B117" s="30" t="s">
        <v>21</v>
      </c>
      <c r="C117" s="30" t="s">
        <v>326</v>
      </c>
      <c r="D117" s="30" t="s">
        <v>327</v>
      </c>
      <c r="E117" s="31" t="n">
        <v>1.22</v>
      </c>
      <c r="F117" s="32" t="n">
        <v>46329</v>
      </c>
    </row>
    <row r="118" customFormat="false" ht="15" hidden="false" customHeight="false" outlineLevel="0" collapsed="false">
      <c r="A118" s="29" t="n">
        <v>114</v>
      </c>
      <c r="B118" s="30" t="s">
        <v>21</v>
      </c>
      <c r="C118" s="30" t="s">
        <v>326</v>
      </c>
      <c r="D118" s="30" t="s">
        <v>328</v>
      </c>
      <c r="E118" s="31" t="n">
        <v>6.9</v>
      </c>
      <c r="F118" s="32" t="n">
        <v>46329</v>
      </c>
    </row>
    <row r="119" customFormat="false" ht="15" hidden="false" customHeight="false" outlineLevel="0" collapsed="false">
      <c r="A119" s="29" t="n">
        <v>115</v>
      </c>
      <c r="B119" s="30" t="s">
        <v>21</v>
      </c>
      <c r="C119" s="30" t="s">
        <v>326</v>
      </c>
      <c r="D119" s="30" t="s">
        <v>329</v>
      </c>
      <c r="E119" s="31" t="n">
        <v>5.18</v>
      </c>
      <c r="F119" s="32" t="n">
        <v>46330</v>
      </c>
    </row>
    <row r="120" customFormat="false" ht="15" hidden="false" customHeight="false" outlineLevel="0" collapsed="false">
      <c r="A120" s="29" t="n">
        <v>116</v>
      </c>
      <c r="B120" s="30" t="s">
        <v>21</v>
      </c>
      <c r="C120" s="30" t="s">
        <v>326</v>
      </c>
      <c r="D120" s="30" t="s">
        <v>330</v>
      </c>
      <c r="E120" s="31" t="n">
        <v>1.1</v>
      </c>
      <c r="F120" s="32" t="n">
        <v>46330</v>
      </c>
    </row>
    <row r="121" customFormat="false" ht="15" hidden="false" customHeight="false" outlineLevel="0" collapsed="false">
      <c r="A121" s="29" t="n">
        <v>117</v>
      </c>
      <c r="B121" s="30" t="s">
        <v>21</v>
      </c>
      <c r="C121" s="30" t="s">
        <v>326</v>
      </c>
      <c r="D121" s="30" t="s">
        <v>331</v>
      </c>
      <c r="E121" s="31" t="n">
        <v>15.02</v>
      </c>
      <c r="F121" s="32" t="n">
        <v>46330</v>
      </c>
    </row>
    <row r="122" customFormat="false" ht="15" hidden="false" customHeight="false" outlineLevel="0" collapsed="false">
      <c r="A122" s="29" t="n">
        <v>118</v>
      </c>
      <c r="B122" s="30" t="s">
        <v>21</v>
      </c>
      <c r="C122" s="30" t="s">
        <v>326</v>
      </c>
      <c r="D122" s="30" t="s">
        <v>332</v>
      </c>
      <c r="E122" s="31" t="n">
        <v>9.68</v>
      </c>
      <c r="F122" s="32" t="n">
        <v>46330</v>
      </c>
    </row>
    <row r="123" customFormat="false" ht="15" hidden="false" customHeight="false" outlineLevel="0" collapsed="false">
      <c r="A123" s="29" t="n">
        <v>119</v>
      </c>
      <c r="B123" s="30" t="s">
        <v>21</v>
      </c>
      <c r="C123" s="30" t="s">
        <v>326</v>
      </c>
      <c r="D123" s="30" t="s">
        <v>333</v>
      </c>
      <c r="E123" s="31" t="n">
        <v>10.32</v>
      </c>
      <c r="F123" s="32" t="n">
        <v>46331</v>
      </c>
    </row>
    <row r="124" customFormat="false" ht="15" hidden="false" customHeight="false" outlineLevel="0" collapsed="false">
      <c r="A124" s="29" t="n">
        <v>120</v>
      </c>
      <c r="B124" s="30" t="s">
        <v>21</v>
      </c>
      <c r="C124" s="30" t="s">
        <v>326</v>
      </c>
      <c r="D124" s="30" t="s">
        <v>334</v>
      </c>
      <c r="E124" s="31" t="n">
        <v>12.2</v>
      </c>
      <c r="F124" s="32" t="n">
        <v>46331</v>
      </c>
    </row>
    <row r="125" customFormat="false" ht="15" hidden="false" customHeight="false" outlineLevel="0" collapsed="false">
      <c r="A125" s="29" t="n">
        <v>121</v>
      </c>
      <c r="B125" s="30" t="s">
        <v>21</v>
      </c>
      <c r="C125" s="30" t="s">
        <v>326</v>
      </c>
      <c r="D125" s="30" t="s">
        <v>335</v>
      </c>
      <c r="E125" s="31" t="n">
        <v>21.48</v>
      </c>
      <c r="F125" s="32" t="n">
        <v>46332</v>
      </c>
    </row>
    <row r="126" customFormat="false" ht="15" hidden="false" customHeight="false" outlineLevel="0" collapsed="false">
      <c r="A126" s="29" t="n">
        <v>122</v>
      </c>
      <c r="B126" s="30" t="s">
        <v>21</v>
      </c>
      <c r="C126" s="30" t="s">
        <v>326</v>
      </c>
      <c r="D126" s="30" t="s">
        <v>336</v>
      </c>
      <c r="E126" s="31" t="n">
        <v>8.98</v>
      </c>
      <c r="F126" s="32" t="n">
        <v>46332</v>
      </c>
    </row>
    <row r="127" customFormat="false" ht="15" hidden="false" customHeight="false" outlineLevel="0" collapsed="false">
      <c r="A127" s="29" t="n">
        <v>123</v>
      </c>
      <c r="B127" s="30" t="s">
        <v>21</v>
      </c>
      <c r="C127" s="30" t="s">
        <v>326</v>
      </c>
      <c r="D127" s="30" t="s">
        <v>337</v>
      </c>
      <c r="E127" s="31" t="n">
        <v>3.92</v>
      </c>
      <c r="F127" s="32" t="n">
        <v>46335</v>
      </c>
    </row>
    <row r="128" customFormat="false" ht="15" hidden="false" customHeight="false" outlineLevel="0" collapsed="false">
      <c r="A128" s="29" t="n">
        <v>124</v>
      </c>
      <c r="B128" s="30" t="s">
        <v>21</v>
      </c>
      <c r="C128" s="30" t="s">
        <v>338</v>
      </c>
      <c r="D128" s="30" t="s">
        <v>339</v>
      </c>
      <c r="E128" s="31" t="n">
        <v>14.67</v>
      </c>
      <c r="F128" s="32" t="n">
        <v>46335</v>
      </c>
    </row>
    <row r="129" customFormat="false" ht="15" hidden="false" customHeight="false" outlineLevel="0" collapsed="false">
      <c r="A129" s="29" t="n">
        <v>125</v>
      </c>
      <c r="B129" s="30" t="s">
        <v>21</v>
      </c>
      <c r="C129" s="30" t="s">
        <v>338</v>
      </c>
      <c r="D129" s="30" t="s">
        <v>340</v>
      </c>
      <c r="E129" s="31" t="n">
        <v>12.35</v>
      </c>
      <c r="F129" s="32" t="n">
        <v>46335</v>
      </c>
    </row>
    <row r="130" customFormat="false" ht="15" hidden="false" customHeight="false" outlineLevel="0" collapsed="false">
      <c r="A130" s="29" t="n">
        <v>126</v>
      </c>
      <c r="B130" s="30" t="s">
        <v>21</v>
      </c>
      <c r="C130" s="30" t="s">
        <v>338</v>
      </c>
      <c r="D130" s="30" t="s">
        <v>341</v>
      </c>
      <c r="E130" s="31" t="n">
        <v>16.92</v>
      </c>
      <c r="F130" s="32" t="n">
        <v>46336</v>
      </c>
    </row>
    <row r="131" customFormat="false" ht="15" hidden="false" customHeight="false" outlineLevel="0" collapsed="false">
      <c r="A131" s="29" t="n">
        <v>127</v>
      </c>
      <c r="B131" s="30" t="s">
        <v>25</v>
      </c>
      <c r="C131" s="30" t="s">
        <v>342</v>
      </c>
      <c r="D131" s="30" t="s">
        <v>343</v>
      </c>
      <c r="E131" s="31" t="n">
        <v>3.23</v>
      </c>
      <c r="F131" s="32" t="n">
        <v>46339</v>
      </c>
    </row>
    <row r="132" customFormat="false" ht="15" hidden="false" customHeight="false" outlineLevel="0" collapsed="false">
      <c r="A132" s="29" t="n">
        <v>128</v>
      </c>
      <c r="B132" s="30" t="s">
        <v>25</v>
      </c>
      <c r="C132" s="30" t="s">
        <v>342</v>
      </c>
      <c r="D132" s="30" t="s">
        <v>344</v>
      </c>
      <c r="E132" s="31" t="n">
        <v>2.57</v>
      </c>
      <c r="F132" s="32" t="n">
        <v>46339</v>
      </c>
    </row>
    <row r="133" customFormat="false" ht="15" hidden="false" customHeight="false" outlineLevel="0" collapsed="false">
      <c r="A133" s="29" t="n">
        <v>129</v>
      </c>
      <c r="B133" s="30" t="s">
        <v>25</v>
      </c>
      <c r="C133" s="30" t="s">
        <v>342</v>
      </c>
      <c r="D133" s="30" t="s">
        <v>345</v>
      </c>
      <c r="E133" s="31" t="n">
        <v>1.75</v>
      </c>
      <c r="F133" s="32" t="n">
        <v>46339</v>
      </c>
    </row>
    <row r="134" customFormat="false" ht="15" hidden="false" customHeight="false" outlineLevel="0" collapsed="false">
      <c r="A134" s="29" t="n">
        <v>130</v>
      </c>
      <c r="B134" s="30" t="s">
        <v>25</v>
      </c>
      <c r="C134" s="30" t="s">
        <v>342</v>
      </c>
      <c r="D134" s="30" t="s">
        <v>346</v>
      </c>
      <c r="E134" s="31" t="n">
        <v>2.3</v>
      </c>
      <c r="F134" s="32" t="n">
        <v>46339</v>
      </c>
    </row>
    <row r="135" customFormat="false" ht="15" hidden="false" customHeight="false" outlineLevel="0" collapsed="false">
      <c r="A135" s="29" t="n">
        <v>131</v>
      </c>
      <c r="B135" s="30" t="s">
        <v>25</v>
      </c>
      <c r="C135" s="30" t="s">
        <v>342</v>
      </c>
      <c r="D135" s="30" t="s">
        <v>347</v>
      </c>
      <c r="E135" s="31" t="n">
        <v>1.47</v>
      </c>
      <c r="F135" s="32" t="n">
        <v>46339</v>
      </c>
    </row>
    <row r="136" customFormat="false" ht="15" hidden="false" customHeight="false" outlineLevel="0" collapsed="false">
      <c r="A136" s="29" t="n">
        <v>132</v>
      </c>
      <c r="B136" s="30" t="s">
        <v>25</v>
      </c>
      <c r="C136" s="30" t="s">
        <v>342</v>
      </c>
      <c r="D136" s="30" t="s">
        <v>348</v>
      </c>
      <c r="E136" s="31" t="n">
        <v>3.88</v>
      </c>
      <c r="F136" s="32" t="n">
        <v>46339</v>
      </c>
    </row>
    <row r="137" customFormat="false" ht="15" hidden="false" customHeight="false" outlineLevel="0" collapsed="false">
      <c r="A137" s="29" t="n">
        <v>133</v>
      </c>
      <c r="B137" s="30" t="s">
        <v>25</v>
      </c>
      <c r="C137" s="30" t="s">
        <v>342</v>
      </c>
      <c r="D137" s="30" t="s">
        <v>349</v>
      </c>
      <c r="E137" s="31" t="n">
        <v>2.43</v>
      </c>
      <c r="F137" s="32" t="n">
        <v>46339</v>
      </c>
    </row>
    <row r="138" customFormat="false" ht="15" hidden="false" customHeight="false" outlineLevel="0" collapsed="false">
      <c r="A138" s="29" t="n">
        <v>134</v>
      </c>
      <c r="B138" s="30" t="s">
        <v>25</v>
      </c>
      <c r="C138" s="30" t="s">
        <v>342</v>
      </c>
      <c r="D138" s="30" t="s">
        <v>350</v>
      </c>
      <c r="E138" s="31" t="n">
        <v>1.88</v>
      </c>
      <c r="F138" s="32" t="n">
        <v>46339</v>
      </c>
    </row>
    <row r="139" customFormat="false" ht="15" hidden="false" customHeight="false" outlineLevel="0" collapsed="false">
      <c r="A139" s="29" t="n">
        <v>135</v>
      </c>
      <c r="B139" s="30" t="s">
        <v>25</v>
      </c>
      <c r="C139" s="30" t="s">
        <v>342</v>
      </c>
      <c r="D139" s="30" t="s">
        <v>351</v>
      </c>
      <c r="E139" s="31" t="n">
        <v>3.28</v>
      </c>
      <c r="F139" s="32" t="n">
        <v>46339</v>
      </c>
    </row>
    <row r="140" customFormat="false" ht="15" hidden="false" customHeight="false" outlineLevel="0" collapsed="false">
      <c r="A140" s="29" t="n">
        <v>136</v>
      </c>
      <c r="B140" s="30" t="s">
        <v>25</v>
      </c>
      <c r="C140" s="30" t="s">
        <v>342</v>
      </c>
      <c r="D140" s="30" t="s">
        <v>352</v>
      </c>
      <c r="E140" s="31" t="n">
        <v>4.48</v>
      </c>
      <c r="F140" s="32" t="n">
        <v>46339</v>
      </c>
    </row>
    <row r="141" customFormat="false" ht="15" hidden="false" customHeight="false" outlineLevel="0" collapsed="false">
      <c r="A141" s="29" t="n">
        <v>137</v>
      </c>
      <c r="B141" s="30" t="s">
        <v>25</v>
      </c>
      <c r="C141" s="30" t="s">
        <v>342</v>
      </c>
      <c r="D141" s="30" t="s">
        <v>353</v>
      </c>
      <c r="E141" s="31" t="n">
        <v>0</v>
      </c>
      <c r="F141" s="32" t="n">
        <v>46339</v>
      </c>
    </row>
    <row r="142" customFormat="false" ht="15" hidden="false" customHeight="false" outlineLevel="0" collapsed="false">
      <c r="A142" s="29" t="n">
        <v>138</v>
      </c>
      <c r="B142" s="30" t="s">
        <v>25</v>
      </c>
      <c r="C142" s="30" t="s">
        <v>354</v>
      </c>
      <c r="D142" s="30" t="s">
        <v>355</v>
      </c>
      <c r="E142" s="31" t="n">
        <v>5.1</v>
      </c>
      <c r="F142" s="32" t="n">
        <v>46339</v>
      </c>
    </row>
    <row r="143" customFormat="false" ht="15" hidden="false" customHeight="false" outlineLevel="0" collapsed="false">
      <c r="A143" s="29" t="n">
        <v>139</v>
      </c>
      <c r="B143" s="30" t="s">
        <v>25</v>
      </c>
      <c r="C143" s="30" t="s">
        <v>354</v>
      </c>
      <c r="D143" s="30" t="s">
        <v>356</v>
      </c>
      <c r="E143" s="31" t="n">
        <v>2.25</v>
      </c>
      <c r="F143" s="32" t="n">
        <v>46342</v>
      </c>
    </row>
    <row r="144" customFormat="false" ht="15" hidden="false" customHeight="false" outlineLevel="0" collapsed="false">
      <c r="A144" s="29" t="n">
        <v>140</v>
      </c>
      <c r="B144" s="30" t="s">
        <v>25</v>
      </c>
      <c r="C144" s="30" t="s">
        <v>354</v>
      </c>
      <c r="D144" s="30" t="s">
        <v>357</v>
      </c>
      <c r="E144" s="31" t="n">
        <v>10.08</v>
      </c>
      <c r="F144" s="32" t="n">
        <v>46342</v>
      </c>
    </row>
    <row r="145" customFormat="false" ht="15" hidden="false" customHeight="false" outlineLevel="0" collapsed="false">
      <c r="A145" s="29" t="n">
        <v>141</v>
      </c>
      <c r="B145" s="30" t="s">
        <v>25</v>
      </c>
      <c r="C145" s="30" t="s">
        <v>354</v>
      </c>
      <c r="D145" s="30" t="s">
        <v>358</v>
      </c>
      <c r="E145" s="31" t="n">
        <v>1.9</v>
      </c>
      <c r="F145" s="32" t="n">
        <v>46342</v>
      </c>
    </row>
    <row r="146" customFormat="false" ht="15" hidden="false" customHeight="false" outlineLevel="0" collapsed="false">
      <c r="A146" s="29" t="n">
        <v>142</v>
      </c>
      <c r="B146" s="30" t="s">
        <v>25</v>
      </c>
      <c r="C146" s="30" t="s">
        <v>354</v>
      </c>
      <c r="D146" s="30" t="s">
        <v>359</v>
      </c>
      <c r="E146" s="31" t="n">
        <v>1.48</v>
      </c>
      <c r="F146" s="32" t="n">
        <v>46342</v>
      </c>
    </row>
    <row r="147" customFormat="false" ht="15" hidden="false" customHeight="false" outlineLevel="0" collapsed="false">
      <c r="A147" s="29" t="n">
        <v>143</v>
      </c>
      <c r="B147" s="30" t="s">
        <v>25</v>
      </c>
      <c r="C147" s="30" t="s">
        <v>354</v>
      </c>
      <c r="D147" s="30" t="s">
        <v>360</v>
      </c>
      <c r="E147" s="31" t="n">
        <v>5.43</v>
      </c>
      <c r="F147" s="32" t="n">
        <v>46342</v>
      </c>
    </row>
    <row r="148" customFormat="false" ht="15" hidden="false" customHeight="false" outlineLevel="0" collapsed="false">
      <c r="A148" s="29" t="n">
        <v>144</v>
      </c>
      <c r="B148" s="30" t="s">
        <v>25</v>
      </c>
      <c r="C148" s="30" t="s">
        <v>354</v>
      </c>
      <c r="D148" s="30" t="s">
        <v>361</v>
      </c>
      <c r="E148" s="31" t="n">
        <v>7.17</v>
      </c>
      <c r="F148" s="32" t="n">
        <v>46342</v>
      </c>
    </row>
    <row r="149" customFormat="false" ht="15" hidden="false" customHeight="false" outlineLevel="0" collapsed="false">
      <c r="A149" s="29" t="n">
        <v>145</v>
      </c>
      <c r="B149" s="30" t="s">
        <v>25</v>
      </c>
      <c r="C149" s="30" t="s">
        <v>354</v>
      </c>
      <c r="D149" s="30" t="s">
        <v>362</v>
      </c>
      <c r="E149" s="31" t="n">
        <v>7.98</v>
      </c>
      <c r="F149" s="32" t="n">
        <v>46342</v>
      </c>
    </row>
    <row r="150" customFormat="false" ht="15" hidden="false" customHeight="false" outlineLevel="0" collapsed="false">
      <c r="A150" s="29" t="n">
        <v>146</v>
      </c>
      <c r="B150" s="30" t="s">
        <v>25</v>
      </c>
      <c r="C150" s="30" t="s">
        <v>354</v>
      </c>
      <c r="D150" s="30" t="s">
        <v>362</v>
      </c>
      <c r="E150" s="31" t="n">
        <v>4.17</v>
      </c>
      <c r="F150" s="32" t="n">
        <v>46343</v>
      </c>
    </row>
    <row r="151" customFormat="false" ht="15" hidden="false" customHeight="false" outlineLevel="0" collapsed="false">
      <c r="A151" s="29" t="n">
        <v>147</v>
      </c>
      <c r="B151" s="30" t="s">
        <v>25</v>
      </c>
      <c r="C151" s="30" t="s">
        <v>354</v>
      </c>
      <c r="D151" s="30" t="s">
        <v>363</v>
      </c>
      <c r="E151" s="31" t="n">
        <v>6.05</v>
      </c>
      <c r="F151" s="32" t="n">
        <v>46343</v>
      </c>
    </row>
    <row r="152" customFormat="false" ht="15" hidden="false" customHeight="false" outlineLevel="0" collapsed="false">
      <c r="A152" s="29" t="n">
        <v>148</v>
      </c>
      <c r="B152" s="30" t="s">
        <v>25</v>
      </c>
      <c r="C152" s="30" t="s">
        <v>354</v>
      </c>
      <c r="D152" s="30" t="s">
        <v>364</v>
      </c>
      <c r="E152" s="31" t="n">
        <v>16.8</v>
      </c>
      <c r="F152" s="32" t="n">
        <v>46343</v>
      </c>
    </row>
    <row r="153" customFormat="false" ht="15" hidden="false" customHeight="false" outlineLevel="0" collapsed="false">
      <c r="A153" s="29" t="n">
        <v>149</v>
      </c>
      <c r="B153" s="30" t="s">
        <v>25</v>
      </c>
      <c r="C153" s="30" t="s">
        <v>354</v>
      </c>
      <c r="D153" s="30" t="s">
        <v>365</v>
      </c>
      <c r="E153" s="31" t="n">
        <v>3.75</v>
      </c>
      <c r="F153" s="32" t="n">
        <v>46343</v>
      </c>
    </row>
    <row r="154" customFormat="false" ht="15" hidden="false" customHeight="false" outlineLevel="0" collapsed="false">
      <c r="A154" s="29" t="n">
        <v>150</v>
      </c>
      <c r="B154" s="30" t="s">
        <v>25</v>
      </c>
      <c r="C154" s="30" t="s">
        <v>354</v>
      </c>
      <c r="D154" s="30" t="s">
        <v>366</v>
      </c>
      <c r="E154" s="31" t="n">
        <v>3.05</v>
      </c>
      <c r="F154" s="32" t="n">
        <v>46344</v>
      </c>
    </row>
    <row r="155" customFormat="false" ht="15" hidden="false" customHeight="false" outlineLevel="0" collapsed="false">
      <c r="A155" s="29" t="n">
        <v>151</v>
      </c>
      <c r="B155" s="30" t="s">
        <v>25</v>
      </c>
      <c r="C155" s="30" t="s">
        <v>354</v>
      </c>
      <c r="D155" s="30" t="s">
        <v>367</v>
      </c>
      <c r="E155" s="31" t="n">
        <v>3.33</v>
      </c>
      <c r="F155" s="32" t="n">
        <v>46344</v>
      </c>
    </row>
    <row r="156" customFormat="false" ht="15" hidden="false" customHeight="false" outlineLevel="0" collapsed="false">
      <c r="A156" s="29" t="n">
        <v>152</v>
      </c>
      <c r="B156" s="30" t="s">
        <v>25</v>
      </c>
      <c r="C156" s="30" t="s">
        <v>354</v>
      </c>
      <c r="D156" s="30" t="s">
        <v>368</v>
      </c>
      <c r="E156" s="31" t="n">
        <v>0.1</v>
      </c>
      <c r="F156" s="32" t="n">
        <v>46344</v>
      </c>
    </row>
    <row r="157" customFormat="false" ht="15" hidden="false" customHeight="false" outlineLevel="0" collapsed="false">
      <c r="A157" s="29" t="n">
        <v>153</v>
      </c>
      <c r="B157" s="30" t="s">
        <v>29</v>
      </c>
      <c r="C157" s="30" t="s">
        <v>369</v>
      </c>
      <c r="D157" s="30" t="s">
        <v>370</v>
      </c>
      <c r="E157" s="31" t="n">
        <v>6.33</v>
      </c>
      <c r="F157" s="32" t="n">
        <v>46356</v>
      </c>
    </row>
    <row r="158" customFormat="false" ht="15" hidden="false" customHeight="false" outlineLevel="0" collapsed="false">
      <c r="A158" s="29" t="n">
        <v>154</v>
      </c>
      <c r="B158" s="30" t="s">
        <v>29</v>
      </c>
      <c r="C158" s="30" t="s">
        <v>369</v>
      </c>
      <c r="D158" s="30" t="s">
        <v>371</v>
      </c>
      <c r="E158" s="31" t="n">
        <v>4.13</v>
      </c>
      <c r="F158" s="32" t="n">
        <v>46356</v>
      </c>
    </row>
    <row r="159" customFormat="false" ht="15" hidden="false" customHeight="false" outlineLevel="0" collapsed="false">
      <c r="A159" s="29" t="n">
        <v>155</v>
      </c>
      <c r="B159" s="30" t="s">
        <v>29</v>
      </c>
      <c r="C159" s="30" t="s">
        <v>369</v>
      </c>
      <c r="D159" s="30" t="s">
        <v>372</v>
      </c>
      <c r="E159" s="31" t="n">
        <v>2.38</v>
      </c>
      <c r="F159" s="32" t="n">
        <v>46356</v>
      </c>
    </row>
    <row r="160" customFormat="false" ht="15" hidden="false" customHeight="false" outlineLevel="0" collapsed="false">
      <c r="A160" s="29" t="n">
        <v>156</v>
      </c>
      <c r="B160" s="30" t="s">
        <v>29</v>
      </c>
      <c r="C160" s="30" t="s">
        <v>369</v>
      </c>
      <c r="D160" s="30" t="s">
        <v>373</v>
      </c>
      <c r="E160" s="31" t="n">
        <v>2.38</v>
      </c>
      <c r="F160" s="32" t="n">
        <v>46356</v>
      </c>
    </row>
    <row r="161" customFormat="false" ht="15" hidden="false" customHeight="false" outlineLevel="0" collapsed="false">
      <c r="A161" s="29" t="n">
        <v>157</v>
      </c>
      <c r="B161" s="30" t="s">
        <v>29</v>
      </c>
      <c r="C161" s="30" t="s">
        <v>369</v>
      </c>
      <c r="D161" s="30" t="s">
        <v>374</v>
      </c>
      <c r="E161" s="31" t="n">
        <v>4.03</v>
      </c>
      <c r="F161" s="32" t="n">
        <v>46356</v>
      </c>
    </row>
    <row r="162" customFormat="false" ht="15" hidden="false" customHeight="false" outlineLevel="0" collapsed="false">
      <c r="A162" s="29" t="n">
        <v>158</v>
      </c>
      <c r="B162" s="30" t="s">
        <v>29</v>
      </c>
      <c r="C162" s="30" t="s">
        <v>369</v>
      </c>
      <c r="D162" s="30" t="s">
        <v>375</v>
      </c>
      <c r="E162" s="31" t="n">
        <v>5.68</v>
      </c>
      <c r="F162" s="32" t="n">
        <v>46356</v>
      </c>
    </row>
    <row r="163" customFormat="false" ht="15" hidden="false" customHeight="false" outlineLevel="0" collapsed="false">
      <c r="A163" s="29" t="n">
        <v>159</v>
      </c>
      <c r="B163" s="30" t="s">
        <v>29</v>
      </c>
      <c r="C163" s="30" t="s">
        <v>369</v>
      </c>
      <c r="D163" s="30" t="s">
        <v>376</v>
      </c>
      <c r="E163" s="31" t="n">
        <v>6.82</v>
      </c>
      <c r="F163" s="32" t="n">
        <v>46356</v>
      </c>
    </row>
    <row r="164" customFormat="false" ht="15" hidden="false" customHeight="false" outlineLevel="0" collapsed="false">
      <c r="A164" s="29" t="n">
        <v>160</v>
      </c>
      <c r="B164" s="30" t="s">
        <v>29</v>
      </c>
      <c r="C164" s="30" t="s">
        <v>369</v>
      </c>
      <c r="D164" s="30" t="s">
        <v>377</v>
      </c>
      <c r="E164" s="31" t="n">
        <v>2.97</v>
      </c>
      <c r="F164" s="32" t="n">
        <v>46357</v>
      </c>
    </row>
    <row r="165" customFormat="false" ht="15" hidden="false" customHeight="false" outlineLevel="0" collapsed="false">
      <c r="A165" s="29" t="n">
        <v>161</v>
      </c>
      <c r="B165" s="30" t="s">
        <v>29</v>
      </c>
      <c r="C165" s="30" t="s">
        <v>369</v>
      </c>
      <c r="D165" s="30" t="s">
        <v>378</v>
      </c>
      <c r="E165" s="31" t="n">
        <v>6.45</v>
      </c>
      <c r="F165" s="32" t="n">
        <v>46357</v>
      </c>
    </row>
    <row r="166" customFormat="false" ht="15" hidden="false" customHeight="false" outlineLevel="0" collapsed="false">
      <c r="A166" s="29" t="n">
        <v>162</v>
      </c>
      <c r="B166" s="30" t="s">
        <v>29</v>
      </c>
      <c r="C166" s="30" t="s">
        <v>369</v>
      </c>
      <c r="D166" s="30" t="s">
        <v>379</v>
      </c>
      <c r="E166" s="31" t="n">
        <v>11.9</v>
      </c>
      <c r="F166" s="32" t="n">
        <v>46357</v>
      </c>
    </row>
    <row r="167" customFormat="false" ht="15" hidden="false" customHeight="false" outlineLevel="0" collapsed="false">
      <c r="A167" s="29" t="n">
        <v>163</v>
      </c>
      <c r="B167" s="30" t="s">
        <v>29</v>
      </c>
      <c r="C167" s="30" t="s">
        <v>369</v>
      </c>
      <c r="D167" s="30" t="s">
        <v>380</v>
      </c>
      <c r="E167" s="31" t="n">
        <v>7.7</v>
      </c>
      <c r="F167" s="32" t="n">
        <v>46357</v>
      </c>
    </row>
    <row r="168" customFormat="false" ht="15" hidden="false" customHeight="false" outlineLevel="0" collapsed="false">
      <c r="A168" s="29" t="n">
        <v>164</v>
      </c>
      <c r="B168" s="30" t="s">
        <v>29</v>
      </c>
      <c r="C168" s="30" t="s">
        <v>369</v>
      </c>
      <c r="D168" s="30" t="s">
        <v>381</v>
      </c>
      <c r="E168" s="31" t="n">
        <v>1.45</v>
      </c>
      <c r="F168" s="32" t="n">
        <v>46357</v>
      </c>
    </row>
    <row r="169" customFormat="false" ht="15" hidden="false" customHeight="false" outlineLevel="0" collapsed="false">
      <c r="A169" s="29" t="n">
        <v>165</v>
      </c>
      <c r="B169" s="30" t="s">
        <v>29</v>
      </c>
      <c r="C169" s="30" t="s">
        <v>369</v>
      </c>
      <c r="D169" s="30" t="s">
        <v>382</v>
      </c>
      <c r="E169" s="31" t="n">
        <v>5.1</v>
      </c>
      <c r="F169" s="32" t="n">
        <v>46358</v>
      </c>
    </row>
    <row r="170" customFormat="false" ht="15" hidden="false" customHeight="false" outlineLevel="0" collapsed="false">
      <c r="A170" s="29" t="n">
        <v>166</v>
      </c>
      <c r="B170" s="30" t="s">
        <v>29</v>
      </c>
      <c r="C170" s="30" t="s">
        <v>383</v>
      </c>
      <c r="D170" s="30" t="s">
        <v>384</v>
      </c>
      <c r="E170" s="31" t="n">
        <v>7.1</v>
      </c>
      <c r="F170" s="32" t="n">
        <v>46358</v>
      </c>
    </row>
    <row r="171" customFormat="false" ht="15" hidden="false" customHeight="false" outlineLevel="0" collapsed="false">
      <c r="A171" s="29" t="n">
        <v>167</v>
      </c>
      <c r="B171" s="30" t="s">
        <v>29</v>
      </c>
      <c r="C171" s="30" t="s">
        <v>383</v>
      </c>
      <c r="D171" s="30" t="s">
        <v>385</v>
      </c>
      <c r="E171" s="31" t="n">
        <v>1.7</v>
      </c>
      <c r="F171" s="32" t="n">
        <v>46358</v>
      </c>
    </row>
    <row r="172" customFormat="false" ht="15" hidden="false" customHeight="false" outlineLevel="0" collapsed="false">
      <c r="A172" s="29" t="n">
        <v>168</v>
      </c>
      <c r="B172" s="30" t="s">
        <v>29</v>
      </c>
      <c r="C172" s="30" t="s">
        <v>383</v>
      </c>
      <c r="D172" s="30" t="s">
        <v>386</v>
      </c>
      <c r="E172" s="31" t="n">
        <v>5.28</v>
      </c>
      <c r="F172" s="32" t="n">
        <v>46358</v>
      </c>
    </row>
    <row r="173" customFormat="false" ht="15" hidden="false" customHeight="false" outlineLevel="0" collapsed="false">
      <c r="A173" s="29" t="n">
        <v>169</v>
      </c>
      <c r="B173" s="30" t="s">
        <v>29</v>
      </c>
      <c r="C173" s="30" t="s">
        <v>383</v>
      </c>
      <c r="D173" s="30" t="s">
        <v>387</v>
      </c>
      <c r="E173" s="31" t="n">
        <v>4.32</v>
      </c>
      <c r="F173" s="32" t="n">
        <v>46358</v>
      </c>
    </row>
    <row r="174" customFormat="false" ht="15" hidden="false" customHeight="false" outlineLevel="0" collapsed="false">
      <c r="A174" s="29" t="n">
        <v>170</v>
      </c>
      <c r="B174" s="30" t="s">
        <v>29</v>
      </c>
      <c r="C174" s="30" t="s">
        <v>383</v>
      </c>
      <c r="D174" s="30" t="s">
        <v>388</v>
      </c>
      <c r="E174" s="31" t="n">
        <v>18.28</v>
      </c>
      <c r="F174" s="32" t="n">
        <v>46359</v>
      </c>
    </row>
    <row r="175" customFormat="false" ht="15" hidden="false" customHeight="false" outlineLevel="0" collapsed="false">
      <c r="A175" s="29" t="n">
        <v>171</v>
      </c>
      <c r="B175" s="30" t="s">
        <v>29</v>
      </c>
      <c r="C175" s="30" t="s">
        <v>383</v>
      </c>
      <c r="D175" s="30" t="s">
        <v>389</v>
      </c>
      <c r="E175" s="31" t="n">
        <v>3.27</v>
      </c>
      <c r="F175" s="32" t="n">
        <v>46359</v>
      </c>
    </row>
    <row r="176" customFormat="false" ht="15" hidden="false" customHeight="false" outlineLevel="0" collapsed="false">
      <c r="A176" s="29" t="n">
        <v>172</v>
      </c>
      <c r="B176" s="30" t="s">
        <v>29</v>
      </c>
      <c r="C176" s="30" t="s">
        <v>383</v>
      </c>
      <c r="D176" s="30" t="s">
        <v>390</v>
      </c>
      <c r="E176" s="31" t="n">
        <v>4.37</v>
      </c>
      <c r="F176" s="32" t="n">
        <v>46359</v>
      </c>
    </row>
    <row r="177" customFormat="false" ht="15" hidden="false" customHeight="false" outlineLevel="0" collapsed="false">
      <c r="A177" s="29" t="n">
        <v>173</v>
      </c>
      <c r="B177" s="30" t="s">
        <v>29</v>
      </c>
      <c r="C177" s="30" t="s">
        <v>383</v>
      </c>
      <c r="D177" s="30" t="s">
        <v>391</v>
      </c>
      <c r="E177" s="31" t="n">
        <v>7.53</v>
      </c>
      <c r="F177" s="32" t="n">
        <v>46359</v>
      </c>
    </row>
    <row r="178" customFormat="false" ht="15" hidden="false" customHeight="false" outlineLevel="0" collapsed="false">
      <c r="A178" s="29" t="n">
        <v>174</v>
      </c>
      <c r="B178" s="30" t="s">
        <v>29</v>
      </c>
      <c r="C178" s="30" t="s">
        <v>383</v>
      </c>
      <c r="D178" s="30" t="s">
        <v>392</v>
      </c>
      <c r="E178" s="31" t="n">
        <v>4.8</v>
      </c>
      <c r="F178" s="32" t="n">
        <v>46360</v>
      </c>
    </row>
    <row r="179" customFormat="false" ht="15" hidden="false" customHeight="false" outlineLevel="0" collapsed="false">
      <c r="A179" s="29" t="n">
        <v>175</v>
      </c>
      <c r="B179" s="30" t="s">
        <v>29</v>
      </c>
      <c r="C179" s="30" t="s">
        <v>383</v>
      </c>
      <c r="D179" s="30" t="s">
        <v>393</v>
      </c>
      <c r="E179" s="31" t="n">
        <v>5.68</v>
      </c>
      <c r="F179" s="32" t="n">
        <v>46360</v>
      </c>
    </row>
    <row r="180" customFormat="false" ht="15" hidden="false" customHeight="false" outlineLevel="0" collapsed="false">
      <c r="A180" s="29" t="n">
        <v>176</v>
      </c>
      <c r="B180" s="30" t="s">
        <v>29</v>
      </c>
      <c r="C180" s="30" t="s">
        <v>383</v>
      </c>
      <c r="D180" s="30" t="s">
        <v>394</v>
      </c>
      <c r="E180" s="31" t="n">
        <v>1.02</v>
      </c>
      <c r="F180" s="32" t="n">
        <v>46360</v>
      </c>
    </row>
    <row r="181" customFormat="false" ht="15" hidden="false" customHeight="false" outlineLevel="0" collapsed="false">
      <c r="A181" s="29" t="n">
        <v>177</v>
      </c>
      <c r="B181" s="30" t="s">
        <v>29</v>
      </c>
      <c r="C181" s="30" t="s">
        <v>395</v>
      </c>
      <c r="D181" s="30" t="s">
        <v>396</v>
      </c>
      <c r="E181" s="31" t="n">
        <v>2.05</v>
      </c>
      <c r="F181" s="32" t="n">
        <v>46360</v>
      </c>
    </row>
    <row r="182" customFormat="false" ht="15" hidden="false" customHeight="false" outlineLevel="0" collapsed="false">
      <c r="A182" s="29" t="n">
        <v>178</v>
      </c>
      <c r="B182" s="30" t="s">
        <v>29</v>
      </c>
      <c r="C182" s="30" t="s">
        <v>395</v>
      </c>
      <c r="D182" s="30" t="s">
        <v>397</v>
      </c>
      <c r="E182" s="31" t="n">
        <v>4.23</v>
      </c>
      <c r="F182" s="32" t="n">
        <v>46360</v>
      </c>
    </row>
    <row r="183" customFormat="false" ht="15" hidden="false" customHeight="false" outlineLevel="0" collapsed="false">
      <c r="A183" s="29" t="n">
        <v>179</v>
      </c>
      <c r="B183" s="30" t="s">
        <v>29</v>
      </c>
      <c r="C183" s="30" t="s">
        <v>395</v>
      </c>
      <c r="D183" s="30" t="s">
        <v>398</v>
      </c>
      <c r="E183" s="31" t="n">
        <v>4.25</v>
      </c>
      <c r="F183" s="32" t="n">
        <v>46360</v>
      </c>
    </row>
    <row r="184" customFormat="false" ht="15" hidden="false" customHeight="false" outlineLevel="0" collapsed="false">
      <c r="A184" s="29" t="n">
        <v>180</v>
      </c>
      <c r="B184" s="30" t="s">
        <v>29</v>
      </c>
      <c r="C184" s="30" t="s">
        <v>395</v>
      </c>
      <c r="D184" s="30" t="s">
        <v>399</v>
      </c>
      <c r="E184" s="31" t="n">
        <v>7.37</v>
      </c>
      <c r="F184" s="32" t="n">
        <v>46360</v>
      </c>
    </row>
    <row r="185" customFormat="false" ht="15" hidden="false" customHeight="false" outlineLevel="0" collapsed="false">
      <c r="A185" s="29" t="n">
        <v>181</v>
      </c>
      <c r="B185" s="30" t="s">
        <v>29</v>
      </c>
      <c r="C185" s="30" t="s">
        <v>395</v>
      </c>
      <c r="D185" s="30" t="s">
        <v>400</v>
      </c>
      <c r="E185" s="31" t="n">
        <v>5.5</v>
      </c>
      <c r="F185" s="32" t="n">
        <v>46360</v>
      </c>
    </row>
    <row r="186" customFormat="false" ht="15" hidden="false" customHeight="false" outlineLevel="0" collapsed="false">
      <c r="A186" s="29" t="n">
        <v>182</v>
      </c>
      <c r="B186" s="30" t="s">
        <v>29</v>
      </c>
      <c r="C186" s="30" t="s">
        <v>395</v>
      </c>
      <c r="D186" s="30" t="s">
        <v>401</v>
      </c>
      <c r="E186" s="31" t="n">
        <v>14.92</v>
      </c>
      <c r="F186" s="32" t="n">
        <v>46363</v>
      </c>
    </row>
    <row r="187" customFormat="false" ht="15" hidden="false" customHeight="false" outlineLevel="0" collapsed="false">
      <c r="A187" s="29" t="n">
        <v>183</v>
      </c>
      <c r="B187" s="30" t="s">
        <v>29</v>
      </c>
      <c r="C187" s="30" t="s">
        <v>395</v>
      </c>
      <c r="D187" s="30" t="s">
        <v>402</v>
      </c>
      <c r="E187" s="31" t="n">
        <v>12.4</v>
      </c>
      <c r="F187" s="32" t="n">
        <v>46363</v>
      </c>
    </row>
    <row r="188" customFormat="false" ht="15" hidden="false" customHeight="false" outlineLevel="0" collapsed="false">
      <c r="A188" s="29" t="n">
        <v>184</v>
      </c>
      <c r="B188" s="30" t="s">
        <v>29</v>
      </c>
      <c r="C188" s="30" t="s">
        <v>395</v>
      </c>
      <c r="D188" s="30" t="s">
        <v>403</v>
      </c>
      <c r="E188" s="31" t="n">
        <v>6.93</v>
      </c>
      <c r="F188" s="32" t="n">
        <v>46363</v>
      </c>
    </row>
    <row r="189" customFormat="false" ht="15" hidden="false" customHeight="false" outlineLevel="0" collapsed="false">
      <c r="A189" s="29" t="n">
        <v>185</v>
      </c>
      <c r="B189" s="30" t="s">
        <v>29</v>
      </c>
      <c r="C189" s="30" t="s">
        <v>395</v>
      </c>
      <c r="D189" s="30" t="s">
        <v>404</v>
      </c>
      <c r="E189" s="31" t="n">
        <v>3.12</v>
      </c>
      <c r="F189" s="32" t="n">
        <v>46364</v>
      </c>
    </row>
    <row r="190" customFormat="false" ht="15" hidden="false" customHeight="false" outlineLevel="0" collapsed="false">
      <c r="A190" s="29" t="n">
        <v>186</v>
      </c>
      <c r="B190" s="30" t="s">
        <v>29</v>
      </c>
      <c r="C190" s="30" t="s">
        <v>395</v>
      </c>
      <c r="D190" s="30" t="s">
        <v>405</v>
      </c>
      <c r="E190" s="31" t="n">
        <v>3.75</v>
      </c>
      <c r="F190" s="32" t="n">
        <v>46364</v>
      </c>
    </row>
    <row r="191" customFormat="false" ht="15" hidden="false" customHeight="false" outlineLevel="0" collapsed="false">
      <c r="A191" s="29" t="n">
        <v>187</v>
      </c>
      <c r="B191" s="30" t="s">
        <v>29</v>
      </c>
      <c r="C191" s="30" t="s">
        <v>395</v>
      </c>
      <c r="D191" s="30" t="s">
        <v>401</v>
      </c>
      <c r="E191" s="31" t="n">
        <v>7.1</v>
      </c>
      <c r="F191" s="32" t="n">
        <v>46364</v>
      </c>
    </row>
    <row r="192" customFormat="false" ht="15" hidden="false" customHeight="false" outlineLevel="0" collapsed="false">
      <c r="A192" s="29" t="n">
        <v>188</v>
      </c>
      <c r="B192" s="30" t="s">
        <v>29</v>
      </c>
      <c r="C192" s="30" t="s">
        <v>406</v>
      </c>
      <c r="D192" s="30" t="s">
        <v>407</v>
      </c>
      <c r="E192" s="31" t="n">
        <v>2.08</v>
      </c>
      <c r="F192" s="32" t="n">
        <v>46364</v>
      </c>
    </row>
    <row r="193" customFormat="false" ht="15" hidden="false" customHeight="false" outlineLevel="0" collapsed="false">
      <c r="A193" s="29" t="n">
        <v>189</v>
      </c>
      <c r="B193" s="30" t="s">
        <v>29</v>
      </c>
      <c r="C193" s="30" t="s">
        <v>406</v>
      </c>
      <c r="D193" s="30" t="s">
        <v>408</v>
      </c>
      <c r="E193" s="31" t="n">
        <v>1.83</v>
      </c>
      <c r="F193" s="32" t="n">
        <v>46364</v>
      </c>
    </row>
    <row r="194" customFormat="false" ht="15" hidden="false" customHeight="false" outlineLevel="0" collapsed="false">
      <c r="A194" s="29" t="n">
        <v>190</v>
      </c>
      <c r="B194" s="30" t="s">
        <v>29</v>
      </c>
      <c r="C194" s="30" t="s">
        <v>406</v>
      </c>
      <c r="D194" s="30" t="s">
        <v>409</v>
      </c>
      <c r="E194" s="31" t="n">
        <v>8.3</v>
      </c>
      <c r="F194" s="32" t="n">
        <v>46364</v>
      </c>
    </row>
    <row r="195" customFormat="false" ht="15" hidden="false" customHeight="false" outlineLevel="0" collapsed="false">
      <c r="A195" s="29" t="n">
        <v>191</v>
      </c>
      <c r="B195" s="30" t="s">
        <v>29</v>
      </c>
      <c r="C195" s="30" t="s">
        <v>406</v>
      </c>
      <c r="D195" s="30" t="s">
        <v>403</v>
      </c>
      <c r="E195" s="31" t="n">
        <v>10.12</v>
      </c>
      <c r="F195" s="32" t="n">
        <v>46364</v>
      </c>
    </row>
    <row r="196" customFormat="false" ht="15" hidden="false" customHeight="false" outlineLevel="0" collapsed="false">
      <c r="A196" s="29" t="n">
        <v>192</v>
      </c>
      <c r="B196" s="30" t="s">
        <v>29</v>
      </c>
      <c r="C196" s="30" t="s">
        <v>406</v>
      </c>
      <c r="D196" s="30" t="s">
        <v>404</v>
      </c>
      <c r="E196" s="31" t="n">
        <v>9.08</v>
      </c>
      <c r="F196" s="32" t="n">
        <v>46365</v>
      </c>
    </row>
    <row r="197" customFormat="false" ht="15" hidden="false" customHeight="false" outlineLevel="0" collapsed="false">
      <c r="A197" s="29" t="n">
        <v>193</v>
      </c>
      <c r="B197" s="30" t="s">
        <v>29</v>
      </c>
      <c r="C197" s="30" t="s">
        <v>406</v>
      </c>
      <c r="D197" s="30" t="s">
        <v>405</v>
      </c>
      <c r="E197" s="31" t="n">
        <v>13.62</v>
      </c>
      <c r="F197" s="32" t="n">
        <v>46365</v>
      </c>
    </row>
    <row r="198" customFormat="false" ht="15" hidden="false" customHeight="false" outlineLevel="0" collapsed="false">
      <c r="A198" s="29" t="n">
        <v>194</v>
      </c>
      <c r="B198" s="30" t="s">
        <v>29</v>
      </c>
      <c r="C198" s="30" t="s">
        <v>410</v>
      </c>
      <c r="D198" s="30" t="s">
        <v>411</v>
      </c>
      <c r="E198" s="31" t="n">
        <v>6.77</v>
      </c>
      <c r="F198" s="32" t="n">
        <v>46365</v>
      </c>
    </row>
    <row r="199" customFormat="false" ht="15" hidden="false" customHeight="false" outlineLevel="0" collapsed="false">
      <c r="A199" s="29" t="n">
        <v>195</v>
      </c>
      <c r="B199" s="30" t="s">
        <v>29</v>
      </c>
      <c r="C199" s="30" t="s">
        <v>410</v>
      </c>
      <c r="D199" s="30" t="s">
        <v>412</v>
      </c>
      <c r="E199" s="31" t="n">
        <v>5.07</v>
      </c>
      <c r="F199" s="32" t="n">
        <v>46365</v>
      </c>
    </row>
    <row r="200" customFormat="false" ht="15" hidden="false" customHeight="false" outlineLevel="0" collapsed="false">
      <c r="A200" s="29" t="n">
        <v>196</v>
      </c>
      <c r="B200" s="30" t="s">
        <v>29</v>
      </c>
      <c r="C200" s="30" t="s">
        <v>410</v>
      </c>
      <c r="D200" s="30" t="s">
        <v>413</v>
      </c>
      <c r="E200" s="31" t="n">
        <v>4.58</v>
      </c>
      <c r="F200" s="32" t="n">
        <v>46366</v>
      </c>
    </row>
    <row r="201" customFormat="false" ht="15" hidden="false" customHeight="false" outlineLevel="0" collapsed="false">
      <c r="A201" s="29" t="n">
        <v>197</v>
      </c>
      <c r="B201" s="30" t="s">
        <v>29</v>
      </c>
      <c r="C201" s="30" t="s">
        <v>410</v>
      </c>
      <c r="D201" s="30" t="s">
        <v>414</v>
      </c>
      <c r="E201" s="31" t="n">
        <v>1.58</v>
      </c>
      <c r="F201" s="32" t="n">
        <v>46366</v>
      </c>
    </row>
    <row r="202" customFormat="false" ht="15" hidden="false" customHeight="false" outlineLevel="0" collapsed="false">
      <c r="A202" s="29" t="n">
        <v>198</v>
      </c>
      <c r="B202" s="30" t="s">
        <v>29</v>
      </c>
      <c r="C202" s="30" t="s">
        <v>410</v>
      </c>
      <c r="D202" s="30" t="s">
        <v>415</v>
      </c>
      <c r="E202" s="31" t="n">
        <v>4.17</v>
      </c>
      <c r="F202" s="32" t="n">
        <v>46366</v>
      </c>
    </row>
    <row r="203" customFormat="false" ht="15" hidden="false" customHeight="false" outlineLevel="0" collapsed="false">
      <c r="A203" s="29" t="n">
        <v>199</v>
      </c>
      <c r="B203" s="30" t="s">
        <v>29</v>
      </c>
      <c r="C203" s="30" t="s">
        <v>410</v>
      </c>
      <c r="D203" s="30" t="s">
        <v>416</v>
      </c>
      <c r="E203" s="31" t="n">
        <v>7.63</v>
      </c>
      <c r="F203" s="32" t="n">
        <v>46366</v>
      </c>
    </row>
    <row r="204" customFormat="false" ht="15" hidden="false" customHeight="false" outlineLevel="0" collapsed="false">
      <c r="A204" s="29" t="n">
        <v>200</v>
      </c>
      <c r="B204" s="30" t="s">
        <v>29</v>
      </c>
      <c r="C204" s="30" t="s">
        <v>410</v>
      </c>
      <c r="D204" s="30" t="s">
        <v>417</v>
      </c>
      <c r="E204" s="31" t="n">
        <v>9.27</v>
      </c>
      <c r="F204" s="32" t="n">
        <v>46366</v>
      </c>
    </row>
    <row r="205" customFormat="false" ht="15" hidden="false" customHeight="false" outlineLevel="0" collapsed="false">
      <c r="A205" s="29" t="n">
        <v>201</v>
      </c>
      <c r="B205" s="30" t="s">
        <v>29</v>
      </c>
      <c r="C205" s="30" t="s">
        <v>410</v>
      </c>
      <c r="D205" s="30" t="s">
        <v>418</v>
      </c>
      <c r="E205" s="31" t="n">
        <v>9.67</v>
      </c>
      <c r="F205" s="32" t="n">
        <v>46366</v>
      </c>
    </row>
    <row r="206" customFormat="false" ht="15" hidden="false" customHeight="false" outlineLevel="0" collapsed="false">
      <c r="A206" s="29" t="n">
        <v>202</v>
      </c>
      <c r="B206" s="30" t="s">
        <v>29</v>
      </c>
      <c r="C206" s="30" t="s">
        <v>410</v>
      </c>
      <c r="D206" s="30" t="s">
        <v>367</v>
      </c>
      <c r="E206" s="31" t="n">
        <v>15.83</v>
      </c>
      <c r="F206" s="32" t="n">
        <v>46367</v>
      </c>
    </row>
    <row r="207" customFormat="false" ht="15" hidden="false" customHeight="false" outlineLevel="0" collapsed="false">
      <c r="A207" s="29" t="n">
        <v>203</v>
      </c>
      <c r="B207" s="30" t="s">
        <v>29</v>
      </c>
      <c r="C207" s="30" t="s">
        <v>410</v>
      </c>
      <c r="D207" s="30" t="s">
        <v>419</v>
      </c>
      <c r="E207" s="31" t="n">
        <v>6.23</v>
      </c>
      <c r="F207" s="32" t="n">
        <v>46367</v>
      </c>
    </row>
    <row r="208" customFormat="false" ht="15" hidden="false" customHeight="false" outlineLevel="0" collapsed="false">
      <c r="A208" s="29" t="n">
        <v>204</v>
      </c>
      <c r="B208" s="30" t="s">
        <v>33</v>
      </c>
      <c r="C208" s="30" t="s">
        <v>420</v>
      </c>
      <c r="D208" s="30" t="s">
        <v>421</v>
      </c>
      <c r="E208" s="31" t="n">
        <v>11.95</v>
      </c>
      <c r="F208" s="32" t="n">
        <v>46426</v>
      </c>
    </row>
    <row r="209" customFormat="false" ht="15" hidden="false" customHeight="false" outlineLevel="0" collapsed="false">
      <c r="A209" s="29" t="n">
        <v>205</v>
      </c>
      <c r="B209" s="30" t="s">
        <v>33</v>
      </c>
      <c r="C209" s="30" t="s">
        <v>420</v>
      </c>
      <c r="D209" s="30" t="s">
        <v>422</v>
      </c>
      <c r="E209" s="31" t="n">
        <v>3.45</v>
      </c>
      <c r="F209" s="32" t="n">
        <v>46426</v>
      </c>
    </row>
    <row r="210" customFormat="false" ht="15" hidden="false" customHeight="false" outlineLevel="0" collapsed="false">
      <c r="A210" s="29" t="n">
        <v>206</v>
      </c>
      <c r="B210" s="30" t="s">
        <v>33</v>
      </c>
      <c r="C210" s="30" t="s">
        <v>420</v>
      </c>
      <c r="D210" s="30" t="s">
        <v>423</v>
      </c>
      <c r="E210" s="31" t="n">
        <v>3.95</v>
      </c>
      <c r="F210" s="32" t="n">
        <v>46426</v>
      </c>
    </row>
    <row r="211" customFormat="false" ht="15" hidden="false" customHeight="false" outlineLevel="0" collapsed="false">
      <c r="A211" s="29" t="n">
        <v>207</v>
      </c>
      <c r="B211" s="30" t="s">
        <v>33</v>
      </c>
      <c r="C211" s="30" t="s">
        <v>420</v>
      </c>
      <c r="D211" s="30" t="s">
        <v>424</v>
      </c>
      <c r="E211" s="31" t="n">
        <v>5.75</v>
      </c>
      <c r="F211" s="32" t="n">
        <v>46426</v>
      </c>
    </row>
    <row r="212" customFormat="false" ht="15" hidden="false" customHeight="false" outlineLevel="0" collapsed="false">
      <c r="A212" s="29" t="n">
        <v>208</v>
      </c>
      <c r="B212" s="30" t="s">
        <v>33</v>
      </c>
      <c r="C212" s="30" t="s">
        <v>420</v>
      </c>
      <c r="D212" s="30" t="s">
        <v>425</v>
      </c>
      <c r="E212" s="31" t="n">
        <v>9.27</v>
      </c>
      <c r="F212" s="32" t="n">
        <v>46426</v>
      </c>
    </row>
    <row r="213" customFormat="false" ht="15" hidden="false" customHeight="false" outlineLevel="0" collapsed="false">
      <c r="A213" s="29" t="n">
        <v>209</v>
      </c>
      <c r="B213" s="30" t="s">
        <v>33</v>
      </c>
      <c r="C213" s="30" t="s">
        <v>420</v>
      </c>
      <c r="D213" s="30" t="s">
        <v>426</v>
      </c>
      <c r="E213" s="31" t="n">
        <v>3.02</v>
      </c>
      <c r="F213" s="32" t="n">
        <v>46427</v>
      </c>
    </row>
    <row r="214" customFormat="false" ht="15" hidden="false" customHeight="false" outlineLevel="0" collapsed="false">
      <c r="A214" s="29" t="n">
        <v>210</v>
      </c>
      <c r="B214" s="30" t="s">
        <v>33</v>
      </c>
      <c r="C214" s="30" t="s">
        <v>420</v>
      </c>
      <c r="D214" s="30" t="s">
        <v>427</v>
      </c>
      <c r="E214" s="31" t="n">
        <v>3.78</v>
      </c>
      <c r="F214" s="32" t="n">
        <v>46427</v>
      </c>
    </row>
    <row r="215" customFormat="false" ht="15" hidden="false" customHeight="false" outlineLevel="0" collapsed="false">
      <c r="A215" s="29" t="n">
        <v>211</v>
      </c>
      <c r="B215" s="30" t="s">
        <v>33</v>
      </c>
      <c r="C215" s="30" t="s">
        <v>420</v>
      </c>
      <c r="D215" s="30" t="s">
        <v>428</v>
      </c>
      <c r="E215" s="31" t="n">
        <v>0</v>
      </c>
      <c r="F215" s="32" t="n">
        <v>46427</v>
      </c>
    </row>
    <row r="216" customFormat="false" ht="15" hidden="false" customHeight="false" outlineLevel="0" collapsed="false">
      <c r="A216" s="29" t="n">
        <v>212</v>
      </c>
      <c r="B216" s="30" t="s">
        <v>33</v>
      </c>
      <c r="C216" s="30" t="s">
        <v>420</v>
      </c>
      <c r="D216" s="30" t="s">
        <v>429</v>
      </c>
      <c r="E216" s="31" t="n">
        <v>3.63</v>
      </c>
      <c r="F216" s="32" t="n">
        <v>46427</v>
      </c>
    </row>
    <row r="217" customFormat="false" ht="15" hidden="false" customHeight="false" outlineLevel="0" collapsed="false">
      <c r="A217" s="29" t="n">
        <v>213</v>
      </c>
      <c r="B217" s="30" t="s">
        <v>33</v>
      </c>
      <c r="C217" s="30" t="s">
        <v>420</v>
      </c>
      <c r="D217" s="30" t="s">
        <v>430</v>
      </c>
      <c r="E217" s="31" t="n">
        <v>5.35</v>
      </c>
      <c r="F217" s="32" t="n">
        <v>46427</v>
      </c>
    </row>
    <row r="218" customFormat="false" ht="15" hidden="false" customHeight="false" outlineLevel="0" collapsed="false">
      <c r="A218" s="29" t="n">
        <v>214</v>
      </c>
      <c r="B218" s="30" t="s">
        <v>33</v>
      </c>
      <c r="C218" s="30" t="s">
        <v>420</v>
      </c>
      <c r="D218" s="30" t="s">
        <v>431</v>
      </c>
      <c r="E218" s="31" t="n">
        <v>4.07</v>
      </c>
      <c r="F218" s="32" t="n">
        <v>46427</v>
      </c>
    </row>
    <row r="219" customFormat="false" ht="15" hidden="false" customHeight="false" outlineLevel="0" collapsed="false">
      <c r="A219" s="29" t="n">
        <v>215</v>
      </c>
      <c r="B219" s="30" t="s">
        <v>33</v>
      </c>
      <c r="C219" s="30" t="s">
        <v>432</v>
      </c>
      <c r="D219" s="30" t="s">
        <v>433</v>
      </c>
      <c r="E219" s="31" t="n">
        <v>6.57</v>
      </c>
      <c r="F219" s="32" t="n">
        <v>46427</v>
      </c>
    </row>
    <row r="220" customFormat="false" ht="15" hidden="false" customHeight="false" outlineLevel="0" collapsed="false">
      <c r="A220" s="29" t="n">
        <v>216</v>
      </c>
      <c r="B220" s="30" t="s">
        <v>33</v>
      </c>
      <c r="C220" s="30" t="s">
        <v>432</v>
      </c>
      <c r="D220" s="30" t="s">
        <v>434</v>
      </c>
      <c r="E220" s="31" t="n">
        <v>0.48</v>
      </c>
      <c r="F220" s="32" t="n">
        <v>46427</v>
      </c>
    </row>
    <row r="221" customFormat="false" ht="15" hidden="false" customHeight="false" outlineLevel="0" collapsed="false">
      <c r="A221" s="29" t="n">
        <v>217</v>
      </c>
      <c r="B221" s="30" t="s">
        <v>33</v>
      </c>
      <c r="C221" s="30" t="s">
        <v>432</v>
      </c>
      <c r="D221" s="30" t="s">
        <v>435</v>
      </c>
      <c r="E221" s="31" t="n">
        <v>4.93</v>
      </c>
      <c r="F221" s="32" t="n">
        <v>46427</v>
      </c>
    </row>
    <row r="222" customFormat="false" ht="15" hidden="false" customHeight="false" outlineLevel="0" collapsed="false">
      <c r="A222" s="29" t="n">
        <v>218</v>
      </c>
      <c r="B222" s="30" t="s">
        <v>33</v>
      </c>
      <c r="C222" s="30" t="s">
        <v>432</v>
      </c>
      <c r="D222" s="30" t="s">
        <v>436</v>
      </c>
      <c r="E222" s="31" t="n">
        <v>2.98</v>
      </c>
      <c r="F222" s="32" t="n">
        <v>46428</v>
      </c>
    </row>
    <row r="223" customFormat="false" ht="15" hidden="false" customHeight="false" outlineLevel="0" collapsed="false">
      <c r="A223" s="29" t="n">
        <v>219</v>
      </c>
      <c r="B223" s="30" t="s">
        <v>33</v>
      </c>
      <c r="C223" s="30" t="s">
        <v>432</v>
      </c>
      <c r="D223" s="30" t="s">
        <v>437</v>
      </c>
      <c r="E223" s="31" t="n">
        <v>3.95</v>
      </c>
      <c r="F223" s="32" t="n">
        <v>46428</v>
      </c>
    </row>
    <row r="224" customFormat="false" ht="15" hidden="false" customHeight="false" outlineLevel="0" collapsed="false">
      <c r="A224" s="29" t="n">
        <v>220</v>
      </c>
      <c r="B224" s="30" t="s">
        <v>33</v>
      </c>
      <c r="C224" s="30" t="s">
        <v>432</v>
      </c>
      <c r="D224" s="30" t="s">
        <v>438</v>
      </c>
      <c r="E224" s="31" t="n">
        <v>9.75</v>
      </c>
      <c r="F224" s="32" t="n">
        <v>46428</v>
      </c>
    </row>
    <row r="225" customFormat="false" ht="15" hidden="false" customHeight="false" outlineLevel="0" collapsed="false">
      <c r="A225" s="29" t="n">
        <v>221</v>
      </c>
      <c r="B225" s="30" t="s">
        <v>33</v>
      </c>
      <c r="C225" s="30" t="s">
        <v>432</v>
      </c>
      <c r="D225" s="30" t="s">
        <v>439</v>
      </c>
      <c r="E225" s="31" t="n">
        <v>3.5</v>
      </c>
      <c r="F225" s="32" t="n">
        <v>46428</v>
      </c>
    </row>
    <row r="226" customFormat="false" ht="15" hidden="false" customHeight="false" outlineLevel="0" collapsed="false">
      <c r="A226" s="29" t="n">
        <v>222</v>
      </c>
      <c r="B226" s="30" t="s">
        <v>33</v>
      </c>
      <c r="C226" s="30" t="s">
        <v>432</v>
      </c>
      <c r="D226" s="30" t="s">
        <v>440</v>
      </c>
      <c r="E226" s="31" t="n">
        <v>10.38</v>
      </c>
      <c r="F226" s="32" t="n">
        <v>46428</v>
      </c>
    </row>
    <row r="227" customFormat="false" ht="15" hidden="false" customHeight="false" outlineLevel="0" collapsed="false">
      <c r="A227" s="29" t="n">
        <v>223</v>
      </c>
      <c r="B227" s="30" t="s">
        <v>33</v>
      </c>
      <c r="C227" s="30" t="s">
        <v>432</v>
      </c>
      <c r="D227" s="30" t="s">
        <v>441</v>
      </c>
      <c r="E227" s="31" t="n">
        <v>4.73</v>
      </c>
      <c r="F227" s="32" t="n">
        <v>46429</v>
      </c>
    </row>
    <row r="228" customFormat="false" ht="15" hidden="false" customHeight="false" outlineLevel="0" collapsed="false">
      <c r="A228" s="29" t="n">
        <v>224</v>
      </c>
      <c r="B228" s="30" t="s">
        <v>33</v>
      </c>
      <c r="C228" s="30" t="s">
        <v>432</v>
      </c>
      <c r="D228" s="30" t="s">
        <v>442</v>
      </c>
      <c r="E228" s="31" t="n">
        <v>7.78</v>
      </c>
      <c r="F228" s="32" t="n">
        <v>46429</v>
      </c>
    </row>
    <row r="229" customFormat="false" ht="15" hidden="false" customHeight="false" outlineLevel="0" collapsed="false">
      <c r="A229" s="29" t="n">
        <v>225</v>
      </c>
      <c r="B229" s="30" t="s">
        <v>33</v>
      </c>
      <c r="C229" s="30" t="s">
        <v>443</v>
      </c>
      <c r="D229" s="30" t="s">
        <v>444</v>
      </c>
      <c r="E229" s="31" t="n">
        <v>10.45</v>
      </c>
      <c r="F229" s="32" t="n">
        <v>46429</v>
      </c>
    </row>
    <row r="230" customFormat="false" ht="15" hidden="false" customHeight="false" outlineLevel="0" collapsed="false">
      <c r="A230" s="29" t="n">
        <v>226</v>
      </c>
      <c r="B230" s="30" t="s">
        <v>33</v>
      </c>
      <c r="C230" s="30" t="s">
        <v>443</v>
      </c>
      <c r="D230" s="30" t="s">
        <v>445</v>
      </c>
      <c r="E230" s="31" t="n">
        <v>6.28</v>
      </c>
      <c r="F230" s="32" t="n">
        <v>46429</v>
      </c>
    </row>
    <row r="231" customFormat="false" ht="15" hidden="false" customHeight="false" outlineLevel="0" collapsed="false">
      <c r="A231" s="29" t="n">
        <v>227</v>
      </c>
      <c r="B231" s="30" t="s">
        <v>33</v>
      </c>
      <c r="C231" s="30" t="s">
        <v>443</v>
      </c>
      <c r="D231" s="30" t="s">
        <v>446</v>
      </c>
      <c r="E231" s="31" t="n">
        <v>2.25</v>
      </c>
      <c r="F231" s="32" t="n">
        <v>46429</v>
      </c>
    </row>
    <row r="232" customFormat="false" ht="15" hidden="false" customHeight="false" outlineLevel="0" collapsed="false">
      <c r="A232" s="29" t="n">
        <v>228</v>
      </c>
      <c r="B232" s="30" t="s">
        <v>33</v>
      </c>
      <c r="C232" s="30" t="s">
        <v>443</v>
      </c>
      <c r="D232" s="30" t="s">
        <v>447</v>
      </c>
      <c r="E232" s="31" t="n">
        <v>4.43</v>
      </c>
      <c r="F232" s="32" t="n">
        <v>46430</v>
      </c>
    </row>
    <row r="233" customFormat="false" ht="15" hidden="false" customHeight="false" outlineLevel="0" collapsed="false">
      <c r="A233" s="29" t="n">
        <v>229</v>
      </c>
      <c r="B233" s="30" t="s">
        <v>33</v>
      </c>
      <c r="C233" s="30" t="s">
        <v>443</v>
      </c>
      <c r="D233" s="30" t="s">
        <v>448</v>
      </c>
      <c r="E233" s="31" t="n">
        <v>3.03</v>
      </c>
      <c r="F233" s="32" t="n">
        <v>46430</v>
      </c>
    </row>
    <row r="234" customFormat="false" ht="15" hidden="false" customHeight="false" outlineLevel="0" collapsed="false">
      <c r="A234" s="29" t="n">
        <v>230</v>
      </c>
      <c r="B234" s="30" t="s">
        <v>33</v>
      </c>
      <c r="C234" s="30" t="s">
        <v>443</v>
      </c>
      <c r="D234" s="30" t="s">
        <v>449</v>
      </c>
      <c r="E234" s="31" t="n">
        <v>1.98</v>
      </c>
      <c r="F234" s="32" t="n">
        <v>46430</v>
      </c>
    </row>
    <row r="235" customFormat="false" ht="15" hidden="false" customHeight="false" outlineLevel="0" collapsed="false">
      <c r="A235" s="29" t="n">
        <v>231</v>
      </c>
      <c r="B235" s="30" t="s">
        <v>33</v>
      </c>
      <c r="C235" s="30" t="s">
        <v>443</v>
      </c>
      <c r="D235" s="30" t="s">
        <v>450</v>
      </c>
      <c r="E235" s="31" t="n">
        <v>17.82</v>
      </c>
      <c r="F235" s="32" t="n">
        <v>46430</v>
      </c>
    </row>
    <row r="236" customFormat="false" ht="15" hidden="false" customHeight="false" outlineLevel="0" collapsed="false">
      <c r="A236" s="29" t="n">
        <v>232</v>
      </c>
      <c r="B236" s="30" t="s">
        <v>33</v>
      </c>
      <c r="C236" s="30" t="s">
        <v>443</v>
      </c>
      <c r="D236" s="30" t="s">
        <v>451</v>
      </c>
      <c r="E236" s="31" t="n">
        <v>3.9</v>
      </c>
      <c r="F236" s="32" t="n">
        <v>46430</v>
      </c>
    </row>
    <row r="237" customFormat="false" ht="15" hidden="false" customHeight="false" outlineLevel="0" collapsed="false">
      <c r="A237" s="29" t="n">
        <v>233</v>
      </c>
      <c r="B237" s="30" t="s">
        <v>33</v>
      </c>
      <c r="C237" s="30" t="s">
        <v>443</v>
      </c>
      <c r="D237" s="30" t="s">
        <v>452</v>
      </c>
      <c r="E237" s="31" t="n">
        <v>10.32</v>
      </c>
      <c r="F237" s="32" t="n">
        <v>46433</v>
      </c>
    </row>
    <row r="238" customFormat="false" ht="15" hidden="false" customHeight="false" outlineLevel="0" collapsed="false">
      <c r="A238" s="29" t="n">
        <v>234</v>
      </c>
      <c r="B238" s="30" t="s">
        <v>33</v>
      </c>
      <c r="C238" s="30" t="s">
        <v>443</v>
      </c>
      <c r="D238" s="30" t="s">
        <v>403</v>
      </c>
      <c r="E238" s="31" t="n">
        <v>9.58</v>
      </c>
      <c r="F238" s="32" t="n">
        <v>46433</v>
      </c>
    </row>
    <row r="239" customFormat="false" ht="15" hidden="false" customHeight="false" outlineLevel="0" collapsed="false">
      <c r="A239" s="29" t="n">
        <v>235</v>
      </c>
      <c r="B239" s="30" t="s">
        <v>33</v>
      </c>
      <c r="C239" s="30" t="s">
        <v>443</v>
      </c>
      <c r="D239" s="30" t="s">
        <v>404</v>
      </c>
      <c r="E239" s="31" t="n">
        <v>4.05</v>
      </c>
      <c r="F239" s="32" t="n">
        <v>46433</v>
      </c>
    </row>
    <row r="240" customFormat="false" ht="15" hidden="false" customHeight="false" outlineLevel="0" collapsed="false">
      <c r="A240" s="29" t="n">
        <v>236</v>
      </c>
      <c r="B240" s="30" t="s">
        <v>33</v>
      </c>
      <c r="C240" s="30" t="s">
        <v>443</v>
      </c>
      <c r="D240" s="30" t="s">
        <v>401</v>
      </c>
      <c r="E240" s="31" t="n">
        <v>5.42</v>
      </c>
      <c r="F240" s="32" t="n">
        <v>46433</v>
      </c>
    </row>
    <row r="241" customFormat="false" ht="15" hidden="false" customHeight="false" outlineLevel="0" collapsed="false">
      <c r="A241" s="29" t="n">
        <v>237</v>
      </c>
      <c r="B241" s="30" t="s">
        <v>33</v>
      </c>
      <c r="C241" s="30" t="s">
        <v>453</v>
      </c>
      <c r="D241" s="30" t="s">
        <v>454</v>
      </c>
      <c r="E241" s="31" t="n">
        <v>12.25</v>
      </c>
      <c r="F241" s="32" t="n">
        <v>46434</v>
      </c>
    </row>
    <row r="242" customFormat="false" ht="15" hidden="false" customHeight="false" outlineLevel="0" collapsed="false">
      <c r="A242" s="29" t="n">
        <v>238</v>
      </c>
      <c r="B242" s="30" t="s">
        <v>33</v>
      </c>
      <c r="C242" s="30" t="s">
        <v>453</v>
      </c>
      <c r="D242" s="30" t="s">
        <v>455</v>
      </c>
      <c r="E242" s="31" t="n">
        <v>1.73</v>
      </c>
      <c r="F242" s="32" t="n">
        <v>46434</v>
      </c>
    </row>
    <row r="243" customFormat="false" ht="15" hidden="false" customHeight="false" outlineLevel="0" collapsed="false">
      <c r="A243" s="29" t="n">
        <v>239</v>
      </c>
      <c r="B243" s="30" t="s">
        <v>33</v>
      </c>
      <c r="C243" s="30" t="s">
        <v>453</v>
      </c>
      <c r="D243" s="30" t="s">
        <v>456</v>
      </c>
      <c r="E243" s="31" t="n">
        <v>7.83</v>
      </c>
      <c r="F243" s="32" t="n">
        <v>46434</v>
      </c>
    </row>
    <row r="244" customFormat="false" ht="15" hidden="false" customHeight="false" outlineLevel="0" collapsed="false">
      <c r="A244" s="29" t="n">
        <v>240</v>
      </c>
      <c r="B244" s="30" t="s">
        <v>33</v>
      </c>
      <c r="C244" s="30" t="s">
        <v>453</v>
      </c>
      <c r="D244" s="30" t="s">
        <v>457</v>
      </c>
      <c r="E244" s="31" t="n">
        <v>3.4</v>
      </c>
      <c r="F244" s="32" t="n">
        <v>46434</v>
      </c>
    </row>
    <row r="245" customFormat="false" ht="15" hidden="false" customHeight="false" outlineLevel="0" collapsed="false">
      <c r="A245" s="29" t="n">
        <v>241</v>
      </c>
      <c r="B245" s="30" t="s">
        <v>33</v>
      </c>
      <c r="C245" s="30" t="s">
        <v>453</v>
      </c>
      <c r="D245" s="30" t="s">
        <v>458</v>
      </c>
      <c r="E245" s="31" t="n">
        <v>6.42</v>
      </c>
      <c r="F245" s="32" t="n">
        <v>46434</v>
      </c>
    </row>
    <row r="246" customFormat="false" ht="15" hidden="false" customHeight="false" outlineLevel="0" collapsed="false">
      <c r="A246" s="29" t="n">
        <v>242</v>
      </c>
      <c r="B246" s="30" t="s">
        <v>33</v>
      </c>
      <c r="C246" s="30" t="s">
        <v>453</v>
      </c>
      <c r="D246" s="30" t="s">
        <v>403</v>
      </c>
      <c r="E246" s="31" t="n">
        <v>5.02</v>
      </c>
      <c r="F246" s="32" t="n">
        <v>46435</v>
      </c>
    </row>
    <row r="247" customFormat="false" ht="15" hidden="false" customHeight="false" outlineLevel="0" collapsed="false">
      <c r="A247" s="29" t="n">
        <v>243</v>
      </c>
      <c r="B247" s="30" t="s">
        <v>33</v>
      </c>
      <c r="C247" s="30" t="s">
        <v>453</v>
      </c>
      <c r="D247" s="30" t="s">
        <v>404</v>
      </c>
      <c r="E247" s="31" t="n">
        <v>13.75</v>
      </c>
      <c r="F247" s="32" t="n">
        <v>46435</v>
      </c>
    </row>
    <row r="248" customFormat="false" ht="15" hidden="false" customHeight="false" outlineLevel="0" collapsed="false">
      <c r="A248" s="29" t="n">
        <v>244</v>
      </c>
      <c r="B248" s="30" t="s">
        <v>33</v>
      </c>
      <c r="C248" s="30" t="s">
        <v>453</v>
      </c>
      <c r="D248" s="30" t="s">
        <v>405</v>
      </c>
      <c r="E248" s="31" t="n">
        <v>3.65</v>
      </c>
      <c r="F248" s="32" t="n">
        <v>46435</v>
      </c>
    </row>
    <row r="249" customFormat="false" ht="15" hidden="false" customHeight="false" outlineLevel="0" collapsed="false">
      <c r="A249" s="29" t="n">
        <v>245</v>
      </c>
      <c r="B249" s="30" t="s">
        <v>33</v>
      </c>
      <c r="C249" s="30" t="s">
        <v>453</v>
      </c>
      <c r="D249" s="30" t="s">
        <v>459</v>
      </c>
      <c r="E249" s="31" t="n">
        <v>8.05</v>
      </c>
      <c r="F249" s="32" t="n">
        <v>46435</v>
      </c>
    </row>
    <row r="250" customFormat="false" ht="15" hidden="false" customHeight="false" outlineLevel="0" collapsed="false">
      <c r="A250" s="29" t="n">
        <v>246</v>
      </c>
      <c r="B250" s="30" t="s">
        <v>37</v>
      </c>
      <c r="C250" s="30" t="s">
        <v>460</v>
      </c>
      <c r="D250" s="30" t="s">
        <v>461</v>
      </c>
      <c r="E250" s="31" t="n">
        <v>12.57</v>
      </c>
      <c r="F250" s="32"/>
    </row>
    <row r="251" customFormat="false" ht="15" hidden="false" customHeight="false" outlineLevel="0" collapsed="false">
      <c r="A251" s="29" t="n">
        <v>247</v>
      </c>
      <c r="B251" s="30" t="s">
        <v>51</v>
      </c>
      <c r="C251" s="30" t="s">
        <v>462</v>
      </c>
      <c r="D251" s="30" t="s">
        <v>463</v>
      </c>
      <c r="E251" s="31" t="n">
        <v>5.68</v>
      </c>
      <c r="F251" s="32"/>
    </row>
    <row r="252" customFormat="false" ht="15" hidden="false" customHeight="false" outlineLevel="0" collapsed="false">
      <c r="A252" s="29" t="n">
        <v>248</v>
      </c>
      <c r="B252" s="30" t="s">
        <v>51</v>
      </c>
      <c r="C252" s="30" t="s">
        <v>462</v>
      </c>
      <c r="D252" s="30" t="s">
        <v>464</v>
      </c>
      <c r="E252" s="31" t="n">
        <v>8.82</v>
      </c>
      <c r="F252" s="32"/>
    </row>
    <row r="253" customFormat="false" ht="15" hidden="false" customHeight="false" outlineLevel="0" collapsed="false">
      <c r="A253" s="29" t="n">
        <v>249</v>
      </c>
      <c r="B253" s="30" t="s">
        <v>51</v>
      </c>
      <c r="C253" s="30" t="s">
        <v>462</v>
      </c>
      <c r="D253" s="30" t="s">
        <v>465</v>
      </c>
      <c r="E253" s="31" t="n">
        <v>2.48</v>
      </c>
      <c r="F253" s="32"/>
    </row>
    <row r="254" customFormat="false" ht="15" hidden="false" customHeight="false" outlineLevel="0" collapsed="false">
      <c r="A254" s="29" t="n">
        <v>250</v>
      </c>
      <c r="B254" s="30" t="s">
        <v>51</v>
      </c>
      <c r="C254" s="30" t="s">
        <v>462</v>
      </c>
      <c r="D254" s="30" t="s">
        <v>466</v>
      </c>
      <c r="E254" s="31" t="n">
        <v>3.28</v>
      </c>
      <c r="F254" s="32"/>
    </row>
    <row r="255" customFormat="false" ht="15" hidden="false" customHeight="false" outlineLevel="0" collapsed="false">
      <c r="A255" s="29" t="n">
        <v>251</v>
      </c>
      <c r="B255" s="30" t="s">
        <v>51</v>
      </c>
      <c r="C255" s="30" t="s">
        <v>462</v>
      </c>
      <c r="D255" s="30" t="s">
        <v>467</v>
      </c>
      <c r="E255" s="31" t="n">
        <v>2.17</v>
      </c>
      <c r="F255" s="32"/>
    </row>
    <row r="256" customFormat="false" ht="15" hidden="false" customHeight="false" outlineLevel="0" collapsed="false">
      <c r="A256" s="29" t="n">
        <v>252</v>
      </c>
      <c r="B256" s="30" t="s">
        <v>51</v>
      </c>
      <c r="C256" s="30" t="s">
        <v>462</v>
      </c>
      <c r="D256" s="30" t="s">
        <v>468</v>
      </c>
      <c r="E256" s="31" t="n">
        <v>2.1</v>
      </c>
      <c r="F256" s="32"/>
    </row>
    <row r="257" customFormat="false" ht="15" hidden="false" customHeight="false" outlineLevel="0" collapsed="false">
      <c r="A257" s="29" t="n">
        <v>253</v>
      </c>
      <c r="B257" s="30" t="s">
        <v>51</v>
      </c>
      <c r="C257" s="30" t="s">
        <v>462</v>
      </c>
      <c r="D257" s="30" t="s">
        <v>469</v>
      </c>
      <c r="E257" s="31" t="n">
        <v>8.68</v>
      </c>
      <c r="F257" s="32"/>
    </row>
    <row r="258" customFormat="false" ht="15" hidden="false" customHeight="false" outlineLevel="0" collapsed="false">
      <c r="A258" s="29" t="n">
        <v>254</v>
      </c>
      <c r="B258" s="30" t="s">
        <v>51</v>
      </c>
      <c r="C258" s="30" t="s">
        <v>462</v>
      </c>
      <c r="D258" s="30" t="s">
        <v>470</v>
      </c>
      <c r="E258" s="31" t="n">
        <v>4.7</v>
      </c>
      <c r="F258" s="32"/>
    </row>
    <row r="259" customFormat="false" ht="15" hidden="false" customHeight="false" outlineLevel="0" collapsed="false">
      <c r="A259" s="29" t="n">
        <v>255</v>
      </c>
      <c r="B259" s="30" t="s">
        <v>51</v>
      </c>
      <c r="C259" s="30" t="s">
        <v>462</v>
      </c>
      <c r="D259" s="30" t="s">
        <v>471</v>
      </c>
      <c r="E259" s="31" t="n">
        <v>8.17</v>
      </c>
      <c r="F259" s="32"/>
    </row>
    <row r="260" customFormat="false" ht="15" hidden="false" customHeight="false" outlineLevel="0" collapsed="false">
      <c r="A260" s="29" t="n">
        <v>256</v>
      </c>
      <c r="B260" s="30" t="s">
        <v>51</v>
      </c>
      <c r="C260" s="30" t="s">
        <v>462</v>
      </c>
      <c r="D260" s="30" t="s">
        <v>472</v>
      </c>
      <c r="E260" s="31" t="n">
        <v>3.12</v>
      </c>
      <c r="F260" s="32"/>
    </row>
    <row r="261" customFormat="false" ht="15" hidden="false" customHeight="false" outlineLevel="0" collapsed="false">
      <c r="A261" s="29" t="n">
        <v>257</v>
      </c>
      <c r="B261" s="30" t="s">
        <v>51</v>
      </c>
      <c r="C261" s="30" t="s">
        <v>462</v>
      </c>
      <c r="D261" s="30" t="s">
        <v>473</v>
      </c>
      <c r="E261" s="31" t="n">
        <v>3.9</v>
      </c>
      <c r="F261" s="32"/>
    </row>
    <row r="262" customFormat="false" ht="15" hidden="false" customHeight="false" outlineLevel="0" collapsed="false">
      <c r="A262" s="29" t="n">
        <v>258</v>
      </c>
      <c r="B262" s="30" t="s">
        <v>51</v>
      </c>
      <c r="C262" s="30" t="s">
        <v>462</v>
      </c>
      <c r="D262" s="30" t="s">
        <v>474</v>
      </c>
      <c r="E262" s="31" t="n">
        <v>12.07</v>
      </c>
      <c r="F262" s="32"/>
    </row>
    <row r="263" customFormat="false" ht="15" hidden="false" customHeight="false" outlineLevel="0" collapsed="false">
      <c r="A263" s="29" t="n">
        <v>259</v>
      </c>
      <c r="B263" s="30" t="s">
        <v>51</v>
      </c>
      <c r="C263" s="30" t="s">
        <v>462</v>
      </c>
      <c r="D263" s="30" t="s">
        <v>475</v>
      </c>
      <c r="E263" s="31" t="n">
        <v>3.58</v>
      </c>
      <c r="F263" s="32"/>
    </row>
    <row r="264" customFormat="false" ht="15" hidden="false" customHeight="false" outlineLevel="0" collapsed="false">
      <c r="A264" s="29" t="n">
        <v>260</v>
      </c>
      <c r="B264" s="30" t="s">
        <v>51</v>
      </c>
      <c r="C264" s="30" t="s">
        <v>462</v>
      </c>
      <c r="D264" s="30" t="s">
        <v>476</v>
      </c>
      <c r="E264" s="31" t="n">
        <v>4.28</v>
      </c>
      <c r="F264" s="32"/>
    </row>
    <row r="265" customFormat="false" ht="15" hidden="false" customHeight="false" outlineLevel="0" collapsed="false">
      <c r="A265" s="29" t="n">
        <v>261</v>
      </c>
      <c r="B265" s="30" t="s">
        <v>51</v>
      </c>
      <c r="C265" s="30" t="s">
        <v>462</v>
      </c>
      <c r="D265" s="30" t="s">
        <v>477</v>
      </c>
      <c r="E265" s="31" t="n">
        <v>3.43</v>
      </c>
      <c r="F265" s="32"/>
    </row>
    <row r="266" customFormat="false" ht="15" hidden="false" customHeight="false" outlineLevel="0" collapsed="false">
      <c r="A266" s="29" t="n">
        <v>262</v>
      </c>
      <c r="B266" s="30" t="s">
        <v>51</v>
      </c>
      <c r="C266" s="30" t="s">
        <v>462</v>
      </c>
      <c r="D266" s="30" t="s">
        <v>478</v>
      </c>
      <c r="E266" s="31" t="n">
        <v>19.08</v>
      </c>
      <c r="F266" s="32"/>
    </row>
    <row r="267" customFormat="false" ht="15" hidden="false" customHeight="false" outlineLevel="0" collapsed="false">
      <c r="A267" s="29" t="n">
        <v>263</v>
      </c>
      <c r="B267" s="30" t="s">
        <v>51</v>
      </c>
      <c r="C267" s="30" t="s">
        <v>462</v>
      </c>
      <c r="D267" s="30" t="s">
        <v>479</v>
      </c>
      <c r="E267" s="31" t="n">
        <v>2.03</v>
      </c>
      <c r="F267" s="32"/>
    </row>
    <row r="268" customFormat="false" ht="15" hidden="false" customHeight="false" outlineLevel="0" collapsed="false">
      <c r="A268" s="29" t="n">
        <v>264</v>
      </c>
      <c r="B268" s="30" t="s">
        <v>51</v>
      </c>
      <c r="C268" s="30" t="s">
        <v>480</v>
      </c>
      <c r="D268" s="30" t="s">
        <v>481</v>
      </c>
      <c r="E268" s="31" t="n">
        <v>6.02</v>
      </c>
      <c r="F268" s="32"/>
    </row>
    <row r="269" customFormat="false" ht="15" hidden="false" customHeight="false" outlineLevel="0" collapsed="false">
      <c r="A269" s="29" t="n">
        <v>265</v>
      </c>
      <c r="B269" s="30" t="s">
        <v>51</v>
      </c>
      <c r="C269" s="30" t="s">
        <v>480</v>
      </c>
      <c r="D269" s="30" t="s">
        <v>482</v>
      </c>
      <c r="E269" s="31" t="n">
        <v>8.12</v>
      </c>
      <c r="F269" s="32"/>
    </row>
    <row r="270" customFormat="false" ht="15" hidden="false" customHeight="false" outlineLevel="0" collapsed="false">
      <c r="A270" s="29" t="n">
        <v>266</v>
      </c>
      <c r="B270" s="30" t="s">
        <v>51</v>
      </c>
      <c r="C270" s="30" t="s">
        <v>480</v>
      </c>
      <c r="D270" s="30" t="s">
        <v>483</v>
      </c>
      <c r="E270" s="31" t="n">
        <v>5.33</v>
      </c>
      <c r="F270" s="32"/>
    </row>
    <row r="271" customFormat="false" ht="15" hidden="false" customHeight="false" outlineLevel="0" collapsed="false">
      <c r="A271" s="29" t="n">
        <v>267</v>
      </c>
      <c r="B271" s="30" t="s">
        <v>51</v>
      </c>
      <c r="C271" s="30" t="s">
        <v>480</v>
      </c>
      <c r="D271" s="30" t="s">
        <v>484</v>
      </c>
      <c r="E271" s="31" t="n">
        <v>2.98</v>
      </c>
      <c r="F271" s="32"/>
    </row>
    <row r="272" customFormat="false" ht="15" hidden="false" customHeight="false" outlineLevel="0" collapsed="false">
      <c r="A272" s="29" t="n">
        <v>268</v>
      </c>
      <c r="B272" s="30" t="s">
        <v>51</v>
      </c>
      <c r="C272" s="30" t="s">
        <v>480</v>
      </c>
      <c r="D272" s="30" t="s">
        <v>403</v>
      </c>
      <c r="E272" s="31" t="n">
        <v>14.67</v>
      </c>
      <c r="F272" s="32"/>
    </row>
    <row r="273" customFormat="false" ht="15" hidden="false" customHeight="false" outlineLevel="0" collapsed="false">
      <c r="A273" s="29" t="n">
        <v>269</v>
      </c>
      <c r="B273" s="30" t="s">
        <v>51</v>
      </c>
      <c r="C273" s="30" t="s">
        <v>480</v>
      </c>
      <c r="D273" s="30" t="s">
        <v>401</v>
      </c>
      <c r="E273" s="31" t="n">
        <v>2.32</v>
      </c>
      <c r="F273" s="32"/>
    </row>
    <row r="274" customFormat="false" ht="15" hidden="false" customHeight="false" outlineLevel="0" collapsed="false">
      <c r="A274" s="29" t="n">
        <v>270</v>
      </c>
      <c r="B274" s="30" t="s">
        <v>51</v>
      </c>
      <c r="C274" s="30" t="s">
        <v>480</v>
      </c>
      <c r="D274" s="30" t="s">
        <v>485</v>
      </c>
      <c r="E274" s="31" t="n">
        <v>4.03</v>
      </c>
      <c r="F274" s="32"/>
    </row>
    <row r="275" customFormat="false" ht="15" hidden="false" customHeight="false" outlineLevel="0" collapsed="false">
      <c r="A275" s="29" t="n">
        <v>271</v>
      </c>
      <c r="B275" s="30" t="s">
        <v>51</v>
      </c>
      <c r="C275" s="30" t="s">
        <v>480</v>
      </c>
      <c r="D275" s="30" t="s">
        <v>486</v>
      </c>
      <c r="E275" s="31" t="n">
        <v>3.83</v>
      </c>
      <c r="F275" s="32"/>
    </row>
    <row r="276" customFormat="false" ht="15" hidden="false" customHeight="false" outlineLevel="0" collapsed="false">
      <c r="A276" s="29" t="n">
        <v>272</v>
      </c>
      <c r="B276" s="30" t="s">
        <v>51</v>
      </c>
      <c r="C276" s="30" t="s">
        <v>460</v>
      </c>
      <c r="D276" s="30" t="s">
        <v>487</v>
      </c>
      <c r="E276" s="31" t="n">
        <v>18.63</v>
      </c>
      <c r="F276" s="32"/>
    </row>
    <row r="277" customFormat="false" ht="15" hidden="false" customHeight="false" outlineLevel="0" collapsed="false">
      <c r="A277" s="29" t="n">
        <v>273</v>
      </c>
      <c r="B277" s="30" t="s">
        <v>51</v>
      </c>
      <c r="C277" s="30" t="s">
        <v>460</v>
      </c>
      <c r="D277" s="30" t="s">
        <v>488</v>
      </c>
      <c r="E277" s="31" t="n">
        <v>19.97</v>
      </c>
      <c r="F277" s="32"/>
    </row>
    <row r="278" customFormat="false" ht="15" hidden="false" customHeight="false" outlineLevel="0" collapsed="false">
      <c r="A278" s="29" t="n">
        <v>274</v>
      </c>
      <c r="B278" s="30" t="s">
        <v>51</v>
      </c>
      <c r="C278" s="30" t="s">
        <v>460</v>
      </c>
      <c r="D278" s="30" t="s">
        <v>489</v>
      </c>
      <c r="E278" s="31" t="n">
        <v>21.65</v>
      </c>
      <c r="F278" s="32"/>
    </row>
    <row r="279" customFormat="false" ht="15" hidden="false" customHeight="false" outlineLevel="0" collapsed="false">
      <c r="A279" s="29" t="n">
        <v>275</v>
      </c>
      <c r="B279" s="30" t="s">
        <v>51</v>
      </c>
      <c r="C279" s="30" t="s">
        <v>460</v>
      </c>
      <c r="D279" s="30" t="s">
        <v>490</v>
      </c>
      <c r="E279" s="31" t="n">
        <v>7.12</v>
      </c>
      <c r="F279" s="32"/>
    </row>
    <row r="280" customFormat="false" ht="15" hidden="false" customHeight="false" outlineLevel="0" collapsed="false">
      <c r="A280" s="29" t="n">
        <v>276</v>
      </c>
      <c r="B280" s="30" t="s">
        <v>51</v>
      </c>
      <c r="C280" s="30" t="s">
        <v>460</v>
      </c>
      <c r="D280" s="30" t="s">
        <v>491</v>
      </c>
      <c r="E280" s="31" t="n">
        <v>6.98</v>
      </c>
      <c r="F280" s="32"/>
    </row>
    <row r="281" customFormat="false" ht="15" hidden="false" customHeight="false" outlineLevel="0" collapsed="false">
      <c r="A281" s="29" t="n">
        <v>277</v>
      </c>
      <c r="B281" s="30" t="s">
        <v>51</v>
      </c>
      <c r="C281" s="30" t="s">
        <v>460</v>
      </c>
      <c r="D281" s="30" t="s">
        <v>492</v>
      </c>
      <c r="E281" s="31" t="n">
        <v>9.42</v>
      </c>
      <c r="F281" s="32"/>
    </row>
    <row r="282" customFormat="false" ht="15" hidden="false" customHeight="false" outlineLevel="0" collapsed="false">
      <c r="A282" s="29" t="n">
        <v>278</v>
      </c>
      <c r="B282" s="30" t="s">
        <v>51</v>
      </c>
      <c r="C282" s="30" t="s">
        <v>460</v>
      </c>
      <c r="D282" s="30" t="s">
        <v>493</v>
      </c>
      <c r="E282" s="31" t="n">
        <v>18.25</v>
      </c>
      <c r="F282" s="32"/>
    </row>
    <row r="283" customFormat="false" ht="15" hidden="false" customHeight="false" outlineLevel="0" collapsed="false">
      <c r="A283" s="29" t="n">
        <v>279</v>
      </c>
      <c r="B283" s="30" t="s">
        <v>51</v>
      </c>
      <c r="C283" s="30" t="s">
        <v>494</v>
      </c>
      <c r="D283" s="30" t="s">
        <v>495</v>
      </c>
      <c r="E283" s="31" t="n">
        <v>4.98</v>
      </c>
      <c r="F283" s="32"/>
    </row>
    <row r="284" customFormat="false" ht="15" hidden="false" customHeight="false" outlineLevel="0" collapsed="false">
      <c r="A284" s="29" t="n">
        <v>280</v>
      </c>
      <c r="B284" s="30" t="s">
        <v>51</v>
      </c>
      <c r="C284" s="30" t="s">
        <v>494</v>
      </c>
      <c r="D284" s="30" t="s">
        <v>496</v>
      </c>
      <c r="E284" s="31" t="n">
        <v>6.17</v>
      </c>
      <c r="F284" s="32"/>
    </row>
    <row r="285" customFormat="false" ht="15" hidden="false" customHeight="false" outlineLevel="0" collapsed="false">
      <c r="A285" s="29" t="n">
        <v>281</v>
      </c>
      <c r="B285" s="30" t="s">
        <v>51</v>
      </c>
      <c r="C285" s="30" t="s">
        <v>494</v>
      </c>
      <c r="D285" s="30" t="s">
        <v>497</v>
      </c>
      <c r="E285" s="31" t="n">
        <v>8.37</v>
      </c>
      <c r="F285" s="32"/>
    </row>
    <row r="286" customFormat="false" ht="15" hidden="false" customHeight="false" outlineLevel="0" collapsed="false">
      <c r="A286" s="29" t="n">
        <v>282</v>
      </c>
      <c r="B286" s="30" t="s">
        <v>51</v>
      </c>
      <c r="C286" s="30" t="s">
        <v>494</v>
      </c>
      <c r="D286" s="30" t="s">
        <v>498</v>
      </c>
      <c r="E286" s="31" t="n">
        <v>10.22</v>
      </c>
      <c r="F286" s="32"/>
    </row>
    <row r="287" customFormat="false" ht="15" hidden="false" customHeight="false" outlineLevel="0" collapsed="false">
      <c r="A287" s="29" t="n">
        <v>283</v>
      </c>
      <c r="B287" s="30" t="s">
        <v>51</v>
      </c>
      <c r="C287" s="30" t="s">
        <v>494</v>
      </c>
      <c r="D287" s="30" t="s">
        <v>499</v>
      </c>
      <c r="E287" s="31" t="n">
        <v>13.12</v>
      </c>
      <c r="F287" s="32"/>
    </row>
    <row r="288" customFormat="false" ht="15" hidden="false" customHeight="false" outlineLevel="0" collapsed="false">
      <c r="A288" s="29" t="n">
        <v>284</v>
      </c>
      <c r="B288" s="30" t="s">
        <v>51</v>
      </c>
      <c r="C288" s="30" t="s">
        <v>494</v>
      </c>
      <c r="D288" s="30" t="s">
        <v>500</v>
      </c>
      <c r="E288" s="31" t="n">
        <v>13.95</v>
      </c>
      <c r="F288" s="32"/>
    </row>
    <row r="289" customFormat="false" ht="15" hidden="false" customHeight="false" outlineLevel="0" collapsed="false">
      <c r="A289" s="29" t="n">
        <v>285</v>
      </c>
      <c r="B289" s="30" t="s">
        <v>51</v>
      </c>
      <c r="C289" s="30" t="s">
        <v>494</v>
      </c>
      <c r="D289" s="30" t="s">
        <v>501</v>
      </c>
      <c r="E289" s="31" t="n">
        <v>0</v>
      </c>
      <c r="F289" s="32"/>
    </row>
    <row r="290" customFormat="false" ht="15" hidden="false" customHeight="false" outlineLevel="0" collapsed="false">
      <c r="A290" s="33"/>
      <c r="B290" s="33"/>
      <c r="C290" s="33"/>
      <c r="D290" s="33" t="s">
        <v>502</v>
      </c>
      <c r="E290" s="34" t="n">
        <f aca="false">SUM(E5:E289)</f>
        <v>1694.58</v>
      </c>
      <c r="F290" s="33"/>
    </row>
    <row r="291" customFormat="false" ht="15" hidden="false" customHeight="false" outlineLevel="0" collapsed="false">
      <c r="A291" s="33"/>
      <c r="B291" s="33"/>
      <c r="C291" s="33"/>
      <c r="D291" s="33" t="s">
        <v>503</v>
      </c>
      <c r="E291" s="34" t="n">
        <f aca="false">E290/60</f>
        <v>28.243</v>
      </c>
      <c r="F291" s="3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2026-10-09T21:15:20Z</dcterms:created>
  <dc:creator>openpyxl</dc:creator>
  <dc:description/>
  <dc:language>en-US</dc:language>
  <cp:lastModifiedBy/>
  <dcterms:modified xsi:type="dcterms:W3CDTF">2026-10-09T21:15:21Z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